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47205FC7-F234-4760-9C75-AE32737CF778}" xr6:coauthVersionLast="47" xr6:coauthVersionMax="47" xr10:uidLastSave="{00000000-0000-0000-0000-000000000000}"/>
  <bookViews>
    <workbookView xWindow="-108" yWindow="-108" windowWidth="23256" windowHeight="12456" activeTab="1" xr2:uid="{57D325D4-DC69-4AA9-BEEB-93150ACDA931}"/>
  </bookViews>
  <sheets>
    <sheet name="OXIFERTIL" sheetId="1" r:id="rId1"/>
    <sheet name="INSUMOS FAZENDAS" sheetId="2" r:id="rId2"/>
    <sheet name="SANTA IRENE (STEIN)" sheetId="3" r:id="rId3"/>
    <sheet name="DANIELA" sheetId="4" r:id="rId4"/>
  </sheets>
  <definedNames>
    <definedName name="_xlnm._FilterDatabase" localSheetId="1" hidden="1">'INSUMOS FAZENDAS'!$B$2:$M$132</definedName>
    <definedName name="_xlnm.Print_Area" localSheetId="1">'INSUMOS FAZENDAS'!$B$1:$L$72</definedName>
    <definedName name="_xlnm.Print_Area" localSheetId="0">OXIFERTIL!$B$2:$L$14</definedName>
    <definedName name="_xlnm.Print_Area" localSheetId="2">'SANTA IRENE (STEIN)'!$B$1:$K$21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7" i="2" l="1"/>
  <c r="K197" i="2"/>
  <c r="K196" i="2"/>
  <c r="J197" i="2"/>
  <c r="F197" i="2"/>
  <c r="F198" i="2"/>
  <c r="J198" i="2"/>
  <c r="J196" i="2"/>
  <c r="J195" i="2"/>
  <c r="J194" i="2"/>
  <c r="J193" i="2"/>
  <c r="J192" i="2"/>
  <c r="J191" i="2"/>
  <c r="J189" i="2"/>
  <c r="I189" i="2" s="1"/>
  <c r="F196" i="2"/>
  <c r="F195" i="2"/>
  <c r="F194" i="2"/>
  <c r="F193" i="2"/>
  <c r="F192" i="2"/>
  <c r="F191" i="2"/>
  <c r="F189" i="2"/>
  <c r="I184" i="2" l="1"/>
  <c r="K184" i="2" s="1"/>
  <c r="I183" i="2"/>
  <c r="I182" i="2"/>
  <c r="I181" i="2"/>
  <c r="K181" i="2" s="1"/>
  <c r="I180" i="2"/>
  <c r="K180" i="2" s="1"/>
  <c r="I179" i="2"/>
  <c r="K179" i="2" s="1"/>
  <c r="K183" i="2"/>
  <c r="K182" i="2"/>
  <c r="I174" i="2"/>
  <c r="K174" i="2" s="1"/>
  <c r="I173" i="2"/>
  <c r="K173" i="2" s="1"/>
  <c r="I178" i="2"/>
  <c r="K178" i="2" s="1"/>
  <c r="I177" i="2"/>
  <c r="I176" i="2"/>
  <c r="I175" i="2"/>
  <c r="K175" i="2" s="1"/>
  <c r="I172" i="2"/>
  <c r="K172" i="2" s="1"/>
  <c r="K177" i="2"/>
  <c r="K176" i="2"/>
  <c r="F190" i="2"/>
  <c r="J190" i="2"/>
  <c r="I190" i="2" s="1"/>
  <c r="K190" i="2" s="1"/>
  <c r="I171" i="2"/>
  <c r="K171" i="2" s="1"/>
  <c r="I170" i="2"/>
  <c r="K170" i="2" s="1"/>
  <c r="I169" i="2"/>
  <c r="K169" i="2" s="1"/>
  <c r="I168" i="2"/>
  <c r="K168" i="2" s="1"/>
  <c r="I167" i="2"/>
  <c r="K167" i="2" s="1"/>
  <c r="I166" i="2"/>
  <c r="K166" i="2" s="1"/>
  <c r="I165" i="2"/>
  <c r="K165" i="2" s="1"/>
  <c r="I164" i="2"/>
  <c r="K164" i="2" s="1"/>
  <c r="I163" i="2"/>
  <c r="I162" i="2"/>
  <c r="I161" i="2"/>
  <c r="K161" i="2" s="1"/>
  <c r="I160" i="2"/>
  <c r="K160" i="2" s="1"/>
  <c r="K163" i="2"/>
  <c r="K162" i="2"/>
  <c r="I159" i="2"/>
  <c r="K159" i="2" s="1"/>
  <c r="I158" i="2"/>
  <c r="K158" i="2" s="1"/>
  <c r="I157" i="2"/>
  <c r="K157" i="2" s="1"/>
  <c r="I156" i="2"/>
  <c r="I155" i="2"/>
  <c r="K155" i="2" s="1"/>
  <c r="I154" i="2"/>
  <c r="K154" i="2" s="1"/>
  <c r="K156" i="2"/>
  <c r="I150" i="2"/>
  <c r="I148" i="2"/>
  <c r="I153" i="2"/>
  <c r="I152" i="2"/>
  <c r="I151" i="2"/>
  <c r="I149" i="2"/>
  <c r="I147" i="2"/>
  <c r="K189" i="2" l="1"/>
  <c r="K153" i="2"/>
  <c r="K152" i="2"/>
  <c r="K151" i="2"/>
  <c r="K150" i="2"/>
  <c r="K149" i="2"/>
  <c r="K148" i="2"/>
  <c r="K147" i="2"/>
  <c r="I142" i="2"/>
  <c r="K142" i="2" s="1"/>
  <c r="I141" i="2"/>
  <c r="K141" i="2" s="1"/>
  <c r="I146" i="2"/>
  <c r="K146" i="2" s="1"/>
  <c r="I145" i="2"/>
  <c r="K145" i="2" s="1"/>
  <c r="I144" i="2"/>
  <c r="K144" i="2" s="1"/>
  <c r="I143" i="2"/>
  <c r="K143" i="2" s="1"/>
  <c r="I140" i="2"/>
  <c r="K140" i="2" s="1"/>
  <c r="I134" i="2"/>
  <c r="K134" i="2" s="1"/>
  <c r="I136" i="2"/>
  <c r="K136" i="2" s="1"/>
  <c r="I139" i="2"/>
  <c r="K139" i="2" s="1"/>
  <c r="I138" i="2"/>
  <c r="K138" i="2" s="1"/>
  <c r="I137" i="2"/>
  <c r="K137" i="2" s="1"/>
  <c r="I135" i="2"/>
  <c r="K135" i="2" s="1"/>
  <c r="I133" i="2"/>
  <c r="K133" i="2" s="1"/>
  <c r="H9" i="4"/>
  <c r="J9" i="4" s="1"/>
  <c r="I70" i="2"/>
  <c r="K70" i="2" s="1"/>
  <c r="I60" i="2"/>
  <c r="I59" i="2"/>
  <c r="I132" i="2"/>
  <c r="K132" i="2" s="1"/>
  <c r="I131" i="2"/>
  <c r="K131" i="2" s="1"/>
  <c r="I130" i="2"/>
  <c r="K130" i="2" s="1"/>
  <c r="I129" i="2"/>
  <c r="K129" i="2" s="1"/>
  <c r="I128" i="2"/>
  <c r="K128" i="2" s="1"/>
  <c r="I127" i="2"/>
  <c r="K127" i="2" s="1"/>
  <c r="E189" i="2"/>
  <c r="I102" i="2"/>
  <c r="K102" i="2" s="1"/>
  <c r="I101" i="2"/>
  <c r="K101" i="2" s="1"/>
  <c r="I100" i="2"/>
  <c r="K100" i="2" s="1"/>
  <c r="I99" i="2"/>
  <c r="K99" i="2" s="1"/>
  <c r="I98" i="2"/>
  <c r="K98" i="2" s="1"/>
  <c r="I126" i="2"/>
  <c r="K126" i="2" s="1"/>
  <c r="I125" i="2"/>
  <c r="K125" i="2" s="1"/>
  <c r="I124" i="2"/>
  <c r="K124" i="2" s="1"/>
  <c r="I123" i="2"/>
  <c r="K123" i="2" s="1"/>
  <c r="I122" i="2"/>
  <c r="K122" i="2" s="1"/>
  <c r="I121" i="2"/>
  <c r="K121" i="2" s="1"/>
  <c r="I120" i="2"/>
  <c r="K120" i="2" s="1"/>
  <c r="I119" i="2"/>
  <c r="K119" i="2" s="1"/>
  <c r="I118" i="2"/>
  <c r="K118" i="2" s="1"/>
  <c r="I117" i="2"/>
  <c r="K117" i="2" s="1"/>
  <c r="I116" i="2"/>
  <c r="K116" i="2" s="1"/>
  <c r="I115" i="2"/>
  <c r="K115" i="2" s="1"/>
  <c r="I193" i="2" l="1"/>
  <c r="K193" i="2" s="1"/>
  <c r="I194" i="2"/>
  <c r="K194" i="2" s="1"/>
  <c r="I196" i="2"/>
  <c r="I195" i="2"/>
  <c r="K195" i="2" s="1"/>
  <c r="I192" i="2"/>
  <c r="K192" i="2" s="1"/>
  <c r="I191" i="2"/>
  <c r="K191" i="2" s="1"/>
  <c r="I198" i="2"/>
  <c r="K198" i="2" s="1"/>
  <c r="I114" i="2" l="1"/>
  <c r="K114" i="2" s="1"/>
  <c r="I113" i="2"/>
  <c r="K113" i="2" s="1"/>
  <c r="I112" i="2"/>
  <c r="K112" i="2" s="1"/>
  <c r="I111" i="2"/>
  <c r="K111" i="2" s="1"/>
  <c r="I110" i="2"/>
  <c r="K110" i="2" s="1"/>
  <c r="I109" i="2"/>
  <c r="K109" i="2" s="1"/>
  <c r="H8" i="4"/>
  <c r="J8" i="4" s="1"/>
  <c r="H7" i="4"/>
  <c r="J7" i="4" s="1"/>
  <c r="H6" i="4"/>
  <c r="J6" i="4" s="1"/>
  <c r="H5" i="4"/>
  <c r="J5" i="4" s="1"/>
  <c r="H4" i="4"/>
  <c r="J4" i="4" s="1"/>
  <c r="I108" i="2" l="1"/>
  <c r="K108" i="2" s="1"/>
  <c r="I107" i="2"/>
  <c r="K107" i="2" s="1"/>
  <c r="I106" i="2"/>
  <c r="K106" i="2" s="1"/>
  <c r="I105" i="2"/>
  <c r="K105" i="2" s="1"/>
  <c r="I104" i="2"/>
  <c r="K104" i="2" s="1"/>
  <c r="I103" i="2"/>
  <c r="K103" i="2" s="1"/>
  <c r="I96" i="2" l="1"/>
  <c r="K96" i="2" s="1"/>
  <c r="I95" i="2"/>
  <c r="K95" i="2" s="1"/>
  <c r="I94" i="2"/>
  <c r="K94" i="2" s="1"/>
  <c r="I93" i="2"/>
  <c r="K93" i="2" s="1"/>
  <c r="I92" i="2"/>
  <c r="K92" i="2" s="1"/>
  <c r="I91" i="2"/>
  <c r="I84" i="2"/>
  <c r="K84" i="2" s="1"/>
  <c r="I83" i="2"/>
  <c r="K83" i="2" s="1"/>
  <c r="I82" i="2"/>
  <c r="K82" i="2" s="1"/>
  <c r="I81" i="2"/>
  <c r="K81" i="2" s="1"/>
  <c r="I80" i="2"/>
  <c r="K80" i="2" s="1"/>
  <c r="I79" i="2"/>
  <c r="K79" i="2" s="1"/>
  <c r="I8" i="1"/>
  <c r="K8" i="1" s="1"/>
  <c r="G19" i="1"/>
  <c r="I19" i="1" s="1"/>
  <c r="I7" i="1"/>
  <c r="K7" i="1" s="1"/>
  <c r="I97" i="2"/>
  <c r="K97" i="2" s="1"/>
  <c r="I90" i="2"/>
  <c r="K90" i="2" s="1"/>
  <c r="I89" i="2"/>
  <c r="K89" i="2" s="1"/>
  <c r="I88" i="2"/>
  <c r="I87" i="2"/>
  <c r="K87" i="2" s="1"/>
  <c r="I86" i="2"/>
  <c r="K86" i="2" s="1"/>
  <c r="I85" i="2"/>
  <c r="K85" i="2" s="1"/>
  <c r="I66" i="2"/>
  <c r="K66" i="2" s="1"/>
  <c r="I65" i="2"/>
  <c r="K65" i="2" s="1"/>
  <c r="I64" i="2"/>
  <c r="K64" i="2" s="1"/>
  <c r="I63" i="2"/>
  <c r="K63" i="2" s="1"/>
  <c r="I62" i="2"/>
  <c r="K62" i="2" s="1"/>
  <c r="I78" i="2"/>
  <c r="K78" i="2" s="1"/>
  <c r="I77" i="2"/>
  <c r="K77" i="2" s="1"/>
  <c r="I76" i="2"/>
  <c r="K76" i="2" s="1"/>
  <c r="I75" i="2"/>
  <c r="K75" i="2" s="1"/>
  <c r="I74" i="2"/>
  <c r="K74" i="2" s="1"/>
  <c r="I73" i="2"/>
  <c r="K73" i="2" s="1"/>
  <c r="K91" i="2"/>
  <c r="K88" i="2"/>
  <c r="I32" i="2" l="1"/>
  <c r="I26" i="2"/>
  <c r="K26" i="2" s="1"/>
  <c r="I20" i="2"/>
  <c r="K20" i="2" s="1"/>
  <c r="I19" i="2"/>
  <c r="K19" i="2" s="1"/>
  <c r="I68" i="2"/>
  <c r="K68" i="2" s="1"/>
  <c r="I69" i="2"/>
  <c r="K69" i="2" s="1"/>
  <c r="I71" i="2"/>
  <c r="K71" i="2" s="1"/>
  <c r="I72" i="2"/>
  <c r="K72" i="2" s="1"/>
  <c r="I67" i="2"/>
  <c r="K67" i="2" s="1"/>
  <c r="K60" i="2"/>
  <c r="K59" i="2"/>
  <c r="I55" i="2"/>
  <c r="K55" i="2" s="1"/>
  <c r="I56" i="2"/>
  <c r="K56" i="2" s="1"/>
  <c r="I57" i="2"/>
  <c r="K57" i="2" s="1"/>
  <c r="I58" i="2"/>
  <c r="K58" i="2" s="1"/>
  <c r="I61" i="2"/>
  <c r="K61" i="2" s="1"/>
  <c r="I54" i="2"/>
  <c r="K54" i="2" s="1"/>
  <c r="I49" i="2"/>
  <c r="K49" i="2" s="1"/>
  <c r="I50" i="2"/>
  <c r="K50" i="2" s="1"/>
  <c r="I51" i="2"/>
  <c r="K51" i="2" s="1"/>
  <c r="I52" i="2"/>
  <c r="K52" i="2" s="1"/>
  <c r="I53" i="2"/>
  <c r="K53" i="2" s="1"/>
  <c r="I48" i="2"/>
  <c r="K48" i="2" s="1"/>
  <c r="I43" i="2"/>
  <c r="K43" i="2" s="1"/>
  <c r="I44" i="2"/>
  <c r="K44" i="2" s="1"/>
  <c r="I45" i="2"/>
  <c r="K45" i="2" s="1"/>
  <c r="I46" i="2"/>
  <c r="K46" i="2" s="1"/>
  <c r="I47" i="2"/>
  <c r="K47" i="2" s="1"/>
  <c r="I42" i="2"/>
  <c r="K42" i="2" s="1"/>
  <c r="I37" i="2"/>
  <c r="K37" i="2" s="1"/>
  <c r="I38" i="2"/>
  <c r="K38" i="2" s="1"/>
  <c r="I39" i="2"/>
  <c r="K39" i="2" s="1"/>
  <c r="I40" i="2"/>
  <c r="K40" i="2" s="1"/>
  <c r="I41" i="2"/>
  <c r="K41" i="2" s="1"/>
  <c r="I36" i="2"/>
  <c r="K36" i="2" s="1"/>
  <c r="I31" i="2"/>
  <c r="K31" i="2" s="1"/>
  <c r="K32" i="2"/>
  <c r="I33" i="2"/>
  <c r="K33" i="2" s="1"/>
  <c r="I34" i="2"/>
  <c r="K34" i="2" s="1"/>
  <c r="I35" i="2"/>
  <c r="K35" i="2" s="1"/>
  <c r="I30" i="2"/>
  <c r="K30" i="2" s="1"/>
  <c r="I25" i="2"/>
  <c r="K25" i="2" s="1"/>
  <c r="I27" i="2"/>
  <c r="K27" i="2" s="1"/>
  <c r="I28" i="2"/>
  <c r="K28" i="2" s="1"/>
  <c r="I29" i="2"/>
  <c r="K29" i="2" s="1"/>
  <c r="I24" i="2"/>
  <c r="K24" i="2" s="1"/>
  <c r="I22" i="2"/>
  <c r="K22" i="2" s="1"/>
  <c r="I21" i="2"/>
  <c r="K21" i="2" s="1"/>
  <c r="I23" i="2"/>
  <c r="K23" i="2" s="1"/>
  <c r="I18" i="2"/>
  <c r="K18" i="2" s="1"/>
  <c r="I17" i="2"/>
  <c r="K17" i="2" s="1"/>
  <c r="I11" i="2"/>
  <c r="K11" i="2" s="1"/>
  <c r="I13" i="2"/>
  <c r="K13" i="2" s="1"/>
  <c r="I14" i="2"/>
  <c r="K14" i="2" s="1"/>
  <c r="I15" i="2"/>
  <c r="K15" i="2" s="1"/>
  <c r="I16" i="2"/>
  <c r="K16" i="2" s="1"/>
  <c r="I12" i="2"/>
  <c r="K12" i="2" s="1"/>
  <c r="I9" i="2"/>
  <c r="K9" i="2" s="1"/>
  <c r="I10" i="2"/>
  <c r="K10" i="2" s="1"/>
  <c r="I8" i="2"/>
  <c r="K8" i="2" s="1"/>
  <c r="I4" i="2"/>
  <c r="K4" i="2" s="1"/>
  <c r="I5" i="2"/>
  <c r="K5" i="2" s="1"/>
  <c r="I6" i="2"/>
  <c r="I3" i="2"/>
  <c r="K3" i="2" s="1"/>
  <c r="J22" i="3"/>
  <c r="K6" i="2" l="1"/>
  <c r="H5" i="3"/>
  <c r="J5" i="3" s="1"/>
  <c r="H6" i="3"/>
  <c r="J6" i="3" s="1"/>
  <c r="H7" i="3"/>
  <c r="J7" i="3" s="1"/>
  <c r="H8" i="3"/>
  <c r="J8" i="3" s="1"/>
  <c r="H9" i="3"/>
  <c r="J9" i="3" s="1"/>
  <c r="K7" i="2" l="1"/>
  <c r="K3" i="1" l="1"/>
  <c r="G10" i="1"/>
  <c r="F10" i="1"/>
  <c r="J10" i="1"/>
  <c r="I6" i="1"/>
  <c r="K6" i="1" s="1"/>
  <c r="I5" i="1"/>
  <c r="K5" i="1" s="1"/>
  <c r="K4" i="1"/>
  <c r="I10" i="1" l="1"/>
  <c r="K10" i="1" s="1"/>
</calcChain>
</file>

<file path=xl/sharedStrings.xml><?xml version="1.0" encoding="utf-8"?>
<sst xmlns="http://schemas.openxmlformats.org/spreadsheetml/2006/main" count="469" uniqueCount="118">
  <si>
    <t>Processo</t>
  </si>
  <si>
    <t>Subprocesso</t>
  </si>
  <si>
    <t>Produto</t>
  </si>
  <si>
    <t>Fazenda</t>
  </si>
  <si>
    <t>Area talhao</t>
  </si>
  <si>
    <t>CANA DE ACUCAR</t>
  </si>
  <si>
    <t>PLANTIO</t>
  </si>
  <si>
    <t>CALCARIO OXIFERTIL</t>
  </si>
  <si>
    <t>SANTA NARCISA</t>
  </si>
  <si>
    <t>SANTO EXPEDITO</t>
  </si>
  <si>
    <t>dose recomendada</t>
  </si>
  <si>
    <t>DIF%</t>
  </si>
  <si>
    <t>SANTA LUIZA</t>
  </si>
  <si>
    <t>SANTA TEREZINHA II</t>
  </si>
  <si>
    <t>CAMPO BELO</t>
  </si>
  <si>
    <t>TOTAL</t>
  </si>
  <si>
    <t>Insum dose aplicada</t>
  </si>
  <si>
    <t>Area total aplicada</t>
  </si>
  <si>
    <t>quantidade aplicada</t>
  </si>
  <si>
    <t>Obs:Na fazenda Santa Narcisa o produto não estava dando regulagem e foi solicitado para o pessoal da oxifertil vim dar um apoio na regulagem, eles vieram e foi ajustado!</t>
  </si>
  <si>
    <t xml:space="preserve">FRENTE </t>
  </si>
  <si>
    <t>Os</t>
  </si>
  <si>
    <t>7447</t>
  </si>
  <si>
    <t>ORIENTE</t>
  </si>
  <si>
    <t>7453</t>
  </si>
  <si>
    <t>AMOREIRA</t>
  </si>
  <si>
    <t>7690</t>
  </si>
  <si>
    <t>7936</t>
  </si>
  <si>
    <t>8101</t>
  </si>
  <si>
    <t>SANTA FE CABELEIRA</t>
  </si>
  <si>
    <t>COD</t>
  </si>
  <si>
    <t>1030</t>
  </si>
  <si>
    <t>1311</t>
  </si>
  <si>
    <t>1037</t>
  </si>
  <si>
    <t>1291</t>
  </si>
  <si>
    <t>1381</t>
  </si>
  <si>
    <t>1382</t>
  </si>
  <si>
    <t>1483</t>
  </si>
  <si>
    <t>1370</t>
  </si>
  <si>
    <t>1383</t>
  </si>
  <si>
    <t>FORTALEZA TONHÃO A</t>
  </si>
  <si>
    <t>1431</t>
  </si>
  <si>
    <t>FORTALEZA TONHÃO C</t>
  </si>
  <si>
    <t>8053</t>
  </si>
  <si>
    <t>SANTA IRENE (STEIN)</t>
  </si>
  <si>
    <t>RESUMO DE CONSUMO DE PRODUTOS FAZ. SANTA IRENE (ADEMAR STEIN)</t>
  </si>
  <si>
    <t>SANTA IRENE</t>
  </si>
  <si>
    <t>PRODUTO</t>
  </si>
  <si>
    <t>BIOZYME</t>
  </si>
  <si>
    <t>04-30-10</t>
  </si>
  <si>
    <t>QUALITY</t>
  </si>
  <si>
    <t>AZOKOP</t>
  </si>
  <si>
    <t>LANEX 800</t>
  </si>
  <si>
    <t>ÁREA COLHIDA DE MUDA</t>
  </si>
  <si>
    <t>CONSUMO POR HECTARE</t>
  </si>
  <si>
    <t>VARIEDADE</t>
  </si>
  <si>
    <t>ORIGEM DA MUDA</t>
  </si>
  <si>
    <t>DESTINO DA MUDA</t>
  </si>
  <si>
    <t>1304</t>
  </si>
  <si>
    <t>BELA VISTA</t>
  </si>
  <si>
    <t>CTC 2</t>
  </si>
  <si>
    <t>IAC SP 01-5503</t>
  </si>
  <si>
    <t>IAC CT 05-2562</t>
  </si>
  <si>
    <t>Area talhao PLANTADA (ha)</t>
  </si>
  <si>
    <t>RESUMO DO CONSUMO DE MUDA DA CAMBUÍ UTILIZADA PARA ÁREA DO FORNECEDOR</t>
  </si>
  <si>
    <t>RESUMO DE PESO CAMPEÃO E ÁREA DE COLHEITA DE MUDA</t>
  </si>
  <si>
    <t xml:space="preserve">ÁREA </t>
  </si>
  <si>
    <t>TONELADAS</t>
  </si>
  <si>
    <t>DATA</t>
  </si>
  <si>
    <t>LANEX 800 WG (REGENTE)</t>
  </si>
  <si>
    <t>COMET</t>
  </si>
  <si>
    <t>COMPOSTO</t>
  </si>
  <si>
    <t>QUALIT</t>
  </si>
  <si>
    <t>10-49-00</t>
  </si>
  <si>
    <t>OXIFERTIL</t>
  </si>
  <si>
    <t>BIOZIME</t>
  </si>
  <si>
    <t>NO-NEMA</t>
  </si>
  <si>
    <t>PEREGRINO</t>
  </si>
  <si>
    <t>MAGNOLIA</t>
  </si>
  <si>
    <t>1401</t>
  </si>
  <si>
    <t>CABELEIRA INVERNADA (CRIOLO)</t>
  </si>
  <si>
    <t>CONSUMO DE MUDA TOTAL (TON)</t>
  </si>
  <si>
    <t>TON. A SER PAGO</t>
  </si>
  <si>
    <t>1098</t>
  </si>
  <si>
    <t>PAULO FRANCO</t>
  </si>
  <si>
    <t>TONHÃO B</t>
  </si>
  <si>
    <t>1384</t>
  </si>
  <si>
    <t>INICIO</t>
  </si>
  <si>
    <t>FINAL</t>
  </si>
  <si>
    <t>Dificuldade com oxifertil em pó</t>
  </si>
  <si>
    <t>123</t>
  </si>
  <si>
    <t>RESUMO DE COSUMO DE INSUMOS NO PLANTIO</t>
  </si>
  <si>
    <t>1373</t>
  </si>
  <si>
    <t>SÃO TOMAZ CORREGO FUNDO</t>
  </si>
  <si>
    <t>8061</t>
  </si>
  <si>
    <t>SÃO TOMAZ DANIELA</t>
  </si>
  <si>
    <t>Area total</t>
  </si>
  <si>
    <t>1372</t>
  </si>
  <si>
    <t>CORREGO FUNDO GLEBA 3</t>
  </si>
  <si>
    <t>SÃO TOMAZ C. FUNDO</t>
  </si>
  <si>
    <t>8964</t>
  </si>
  <si>
    <t>SÃO PEDRO</t>
  </si>
  <si>
    <t>SURVEY (FIPRONIL)</t>
  </si>
  <si>
    <t>1308</t>
  </si>
  <si>
    <t>DIAMANTE AZUL</t>
  </si>
  <si>
    <t>1380</t>
  </si>
  <si>
    <t>CABELEIRA PAIVA</t>
  </si>
  <si>
    <t>RESUMO GERAL CAMBUI</t>
  </si>
  <si>
    <t>1484</t>
  </si>
  <si>
    <t>SKALADA</t>
  </si>
  <si>
    <t>33,33 há</t>
  </si>
  <si>
    <t xml:space="preserve">20,15 há </t>
  </si>
  <si>
    <t>1395</t>
  </si>
  <si>
    <t>ARTUR FRANCO</t>
  </si>
  <si>
    <t>1099</t>
  </si>
  <si>
    <t>GAMELEIRA</t>
  </si>
  <si>
    <t>9548</t>
  </si>
  <si>
    <t>PRIMAVERA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</si>
</sst>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/>
    <xf numFmtId="10" fontId="0" fillId="0" borderId="8" xfId="0" applyNumberFormat="1" applyBorder="1" applyAlignment="1">
      <alignment horizontal="center" vertical="center"/>
    </xf>
    <xf numFmtId="0" fontId="0" fillId="0" borderId="9" xfId="0" applyBorder="1"/>
    <xf numFmtId="10" fontId="1" fillId="0" borderId="11" xfId="0" applyNumberFormat="1" applyFont="1" applyBorder="1" applyAlignment="1">
      <alignment horizontal="center" vertical="center"/>
    </xf>
    <xf numFmtId="0" fontId="0" fillId="0" borderId="12" xfId="0" applyBorder="1"/>
    <xf numFmtId="0" fontId="0" fillId="0" borderId="6" xfId="0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0" xfId="0" applyNumberFormat="1"/>
    <xf numFmtId="0" fontId="1" fillId="2" borderId="25" xfId="0" applyFont="1" applyFill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49" fontId="0" fillId="0" borderId="28" xfId="0" applyNumberForma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2" fontId="0" fillId="0" borderId="15" xfId="0" applyNumberFormat="1" applyFont="1" applyBorder="1" applyAlignment="1">
      <alignment horizontal="center" vertical="center"/>
    </xf>
    <xf numFmtId="2" fontId="0" fillId="0" borderId="19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3" borderId="13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2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27AA-8D37-4692-A919-1045A2917E17}">
  <sheetPr>
    <pageSetUpPr fitToPage="1"/>
  </sheetPr>
  <dimension ref="B1:L19"/>
  <sheetViews>
    <sheetView showGridLines="0" zoomScaleNormal="100" workbookViewId="0">
      <selection activeCell="D24" sqref="D24"/>
    </sheetView>
  </sheetViews>
  <sheetFormatPr defaultRowHeight="14.4" x14ac:dyDescent="0.3"/>
  <cols>
    <col min="1" max="1" width="3.33203125" customWidth="1"/>
    <col min="2" max="2" width="15.77734375" bestFit="1" customWidth="1"/>
    <col min="3" max="3" width="11.6640625" bestFit="1" customWidth="1"/>
    <col min="4" max="4" width="18.33203125" bestFit="1" customWidth="1"/>
    <col min="5" max="5" width="17.88671875" bestFit="1" customWidth="1"/>
    <col min="6" max="6" width="10.6640625" bestFit="1" customWidth="1"/>
    <col min="7" max="7" width="11.6640625" customWidth="1"/>
    <col min="8" max="8" width="12.5546875" customWidth="1"/>
    <col min="9" max="9" width="10.6640625" bestFit="1" customWidth="1"/>
    <col min="10" max="10" width="10.88671875" customWidth="1"/>
    <col min="11" max="11" width="7.5546875" bestFit="1" customWidth="1"/>
    <col min="12" max="12" width="7.33203125" bestFit="1" customWidth="1"/>
  </cols>
  <sheetData>
    <row r="1" spans="2:12" ht="15" thickBot="1" x14ac:dyDescent="0.35"/>
    <row r="2" spans="2:12" s="2" customFormat="1" ht="36.6" customHeight="1" x14ac:dyDescent="0.3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17</v>
      </c>
      <c r="H2" s="4" t="s">
        <v>10</v>
      </c>
      <c r="I2" s="4" t="s">
        <v>16</v>
      </c>
      <c r="J2" s="4" t="s">
        <v>18</v>
      </c>
      <c r="K2" s="4" t="s">
        <v>11</v>
      </c>
      <c r="L2" s="21" t="s">
        <v>20</v>
      </c>
    </row>
    <row r="3" spans="2:12" x14ac:dyDescent="0.3">
      <c r="B3" s="5" t="s">
        <v>5</v>
      </c>
      <c r="C3" s="6" t="s">
        <v>6</v>
      </c>
      <c r="D3" s="6" t="s">
        <v>7</v>
      </c>
      <c r="E3" s="6" t="s">
        <v>8</v>
      </c>
      <c r="F3" s="7">
        <v>90.16</v>
      </c>
      <c r="G3" s="7">
        <v>90.16</v>
      </c>
      <c r="H3" s="8">
        <v>0.15</v>
      </c>
      <c r="I3" s="8">
        <v>0.1207853</v>
      </c>
      <c r="J3" s="9">
        <v>10.890002647999999</v>
      </c>
      <c r="K3" s="20">
        <f t="shared" ref="K3:K10" si="0">I3/H3-1</f>
        <v>-0.1947646666666667</v>
      </c>
      <c r="L3" s="22">
        <v>4001</v>
      </c>
    </row>
    <row r="4" spans="2:12" x14ac:dyDescent="0.3">
      <c r="B4" s="5" t="s">
        <v>5</v>
      </c>
      <c r="C4" s="6" t="s">
        <v>6</v>
      </c>
      <c r="D4" s="6" t="s">
        <v>7</v>
      </c>
      <c r="E4" s="6" t="s">
        <v>9</v>
      </c>
      <c r="F4" s="7">
        <v>128.61000000000001</v>
      </c>
      <c r="G4" s="7">
        <v>128.61000000000001</v>
      </c>
      <c r="H4" s="8">
        <v>0.15</v>
      </c>
      <c r="I4" s="8">
        <v>0.14337920000000001</v>
      </c>
      <c r="J4" s="9">
        <v>18.439998912</v>
      </c>
      <c r="K4" s="20">
        <f t="shared" si="0"/>
        <v>-4.4138666666666548E-2</v>
      </c>
      <c r="L4" s="22">
        <v>4009</v>
      </c>
    </row>
    <row r="5" spans="2:12" x14ac:dyDescent="0.3">
      <c r="B5" s="5" t="s">
        <v>5</v>
      </c>
      <c r="C5" s="6" t="s">
        <v>6</v>
      </c>
      <c r="D5" s="6" t="s">
        <v>7</v>
      </c>
      <c r="E5" s="6" t="s">
        <v>12</v>
      </c>
      <c r="F5" s="7">
        <v>22.18</v>
      </c>
      <c r="G5" s="7">
        <v>22.18</v>
      </c>
      <c r="H5" s="8">
        <v>0.15</v>
      </c>
      <c r="I5" s="8">
        <f>J5/G5</f>
        <v>0.14878268710550044</v>
      </c>
      <c r="J5" s="9">
        <v>3.3</v>
      </c>
      <c r="K5" s="20">
        <f t="shared" si="0"/>
        <v>-8.1154192966637062E-3</v>
      </c>
      <c r="L5" s="22">
        <v>4001</v>
      </c>
    </row>
    <row r="6" spans="2:12" x14ac:dyDescent="0.3">
      <c r="B6" s="5" t="s">
        <v>5</v>
      </c>
      <c r="C6" s="6" t="s">
        <v>6</v>
      </c>
      <c r="D6" s="6" t="s">
        <v>7</v>
      </c>
      <c r="E6" s="6" t="s">
        <v>13</v>
      </c>
      <c r="F6" s="7">
        <v>4.84</v>
      </c>
      <c r="G6" s="7">
        <v>4.84</v>
      </c>
      <c r="H6" s="8">
        <v>0.15</v>
      </c>
      <c r="I6" s="8">
        <f t="shared" ref="I6" si="1">J6/G6</f>
        <v>0.14462809917355371</v>
      </c>
      <c r="J6" s="9">
        <v>0.7</v>
      </c>
      <c r="K6" s="20">
        <f t="shared" si="0"/>
        <v>-3.5812672176308569E-2</v>
      </c>
      <c r="L6" s="22">
        <v>4001</v>
      </c>
    </row>
    <row r="7" spans="2:12" x14ac:dyDescent="0.3">
      <c r="B7" s="10" t="s">
        <v>5</v>
      </c>
      <c r="C7" s="11" t="s">
        <v>6</v>
      </c>
      <c r="D7" s="11" t="s">
        <v>7</v>
      </c>
      <c r="E7" s="11" t="s">
        <v>14</v>
      </c>
      <c r="F7" s="12">
        <v>33.04</v>
      </c>
      <c r="G7" s="12">
        <v>33.04</v>
      </c>
      <c r="H7" s="13">
        <v>0.15</v>
      </c>
      <c r="I7" s="13">
        <f t="shared" ref="I7" si="2">J7/G7</f>
        <v>0.14830508474576273</v>
      </c>
      <c r="J7" s="14">
        <v>4.9000000000000004</v>
      </c>
      <c r="K7" s="23">
        <f t="shared" ref="K7:K8" si="3">I7/H7-1</f>
        <v>-1.1299435028248372E-2</v>
      </c>
      <c r="L7" s="24">
        <v>4001</v>
      </c>
    </row>
    <row r="8" spans="2:12" x14ac:dyDescent="0.3">
      <c r="B8" s="10" t="s">
        <v>5</v>
      </c>
      <c r="C8" s="11" t="s">
        <v>6</v>
      </c>
      <c r="D8" s="11" t="s">
        <v>7</v>
      </c>
      <c r="E8" s="11" t="s">
        <v>78</v>
      </c>
      <c r="F8" s="12">
        <v>80.16</v>
      </c>
      <c r="G8" s="12">
        <v>80.16</v>
      </c>
      <c r="H8" s="8">
        <v>0.15</v>
      </c>
      <c r="I8" s="13">
        <f>J8/G8</f>
        <v>0.16966067864271459</v>
      </c>
      <c r="J8" s="8">
        <v>13.6</v>
      </c>
      <c r="K8" s="23">
        <f t="shared" si="3"/>
        <v>0.13107119095143061</v>
      </c>
      <c r="L8" s="22">
        <v>4009</v>
      </c>
    </row>
    <row r="9" spans="2:12" ht="15" thickBot="1" x14ac:dyDescent="0.35">
      <c r="B9" s="10" t="s">
        <v>5</v>
      </c>
      <c r="C9" s="11" t="s">
        <v>6</v>
      </c>
      <c r="D9" s="11" t="s">
        <v>7</v>
      </c>
      <c r="E9" s="11"/>
      <c r="F9" s="12"/>
      <c r="G9" s="12"/>
      <c r="H9" s="13"/>
      <c r="I9" s="13"/>
      <c r="J9" s="14"/>
      <c r="K9" s="23"/>
      <c r="L9" s="24"/>
    </row>
    <row r="10" spans="2:12" ht="15" thickBot="1" x14ac:dyDescent="0.35">
      <c r="B10" s="15" t="s">
        <v>5</v>
      </c>
      <c r="C10" s="16" t="s">
        <v>6</v>
      </c>
      <c r="D10" s="16" t="s">
        <v>7</v>
      </c>
      <c r="E10" s="16" t="s">
        <v>15</v>
      </c>
      <c r="F10" s="17">
        <f>SUM(F3:F9)</f>
        <v>358.99</v>
      </c>
      <c r="G10" s="17">
        <f>SUM(G3:G9)</f>
        <v>358.99</v>
      </c>
      <c r="H10" s="18">
        <v>0.15</v>
      </c>
      <c r="I10" s="18">
        <f>J10/G10</f>
        <v>0.14437728504972283</v>
      </c>
      <c r="J10" s="19">
        <f>SUM(J3:J9)</f>
        <v>51.830001559999999</v>
      </c>
      <c r="K10" s="25">
        <f t="shared" si="0"/>
        <v>-3.7484766335181052E-2</v>
      </c>
      <c r="L10" s="26"/>
    </row>
    <row r="13" spans="2:12" ht="14.4" customHeight="1" x14ac:dyDescent="0.3">
      <c r="B13" s="66" t="s">
        <v>19</v>
      </c>
      <c r="C13" s="67"/>
      <c r="D13" s="67"/>
      <c r="E13" s="67"/>
      <c r="F13" s="67"/>
    </row>
    <row r="14" spans="2:12" x14ac:dyDescent="0.3">
      <c r="B14" s="66"/>
      <c r="C14" s="67"/>
      <c r="D14" s="67"/>
      <c r="E14" s="67"/>
      <c r="F14" s="67"/>
    </row>
    <row r="17" spans="6:10" x14ac:dyDescent="0.3">
      <c r="J17" s="1"/>
    </row>
    <row r="19" spans="6:10" x14ac:dyDescent="0.3">
      <c r="F19" s="8">
        <v>0.15</v>
      </c>
      <c r="G19" s="8" t="e">
        <f t="shared" ref="G19" si="4">H19/$F$83</f>
        <v>#DIV/0!</v>
      </c>
      <c r="H19" s="8">
        <v>13.6</v>
      </c>
      <c r="I19" s="44" t="e">
        <f t="shared" ref="I19" si="5">G19/F19-1</f>
        <v>#DIV/0!</v>
      </c>
    </row>
  </sheetData>
  <mergeCells count="1">
    <mergeCell ref="B13:F14"/>
  </mergeCells>
  <conditionalFormatting sqref="I19">
    <cfRule type="cellIs" dxfId="71" priority="1" operator="lessThan">
      <formula>0</formula>
    </cfRule>
    <cfRule type="cellIs" dxfId="70" priority="3" operator="greaterThan">
      <formula>0</formula>
    </cfRule>
  </conditionalFormatting>
  <conditionalFormatting sqref="I19">
    <cfRule type="cellIs" dxfId="69" priority="2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E85E-7723-43F0-9B57-E92C16501EAD}">
  <sheetPr>
    <pageSetUpPr fitToPage="1"/>
  </sheetPr>
  <dimension ref="B1:M201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203" sqref="M203"/>
    </sheetView>
  </sheetViews>
  <sheetFormatPr defaultRowHeight="14.4" x14ac:dyDescent="0.3"/>
  <cols>
    <col min="1" max="1" width="8.88671875" style="43"/>
    <col min="2" max="3" width="5" style="43" bestFit="1" customWidth="1"/>
    <col min="4" max="4" width="28.6640625" style="43" bestFit="1" customWidth="1"/>
    <col min="5" max="5" width="18.44140625" style="43" bestFit="1" customWidth="1"/>
    <col min="6" max="6" width="20.5546875" style="43" bestFit="1" customWidth="1"/>
    <col min="7" max="7" width="22.77734375" style="43" bestFit="1" customWidth="1"/>
    <col min="8" max="8" width="19.33203125" style="43" bestFit="1" customWidth="1"/>
    <col min="9" max="9" width="13.6640625" style="43" customWidth="1"/>
    <col min="10" max="10" width="10.6640625" style="43" bestFit="1" customWidth="1"/>
    <col min="11" max="11" width="12" style="43" bestFit="1" customWidth="1"/>
    <col min="12" max="12" width="13.109375" style="43" bestFit="1" customWidth="1"/>
    <col min="13" max="13" width="10.5546875" style="43" bestFit="1" customWidth="1"/>
    <col min="14" max="16384" width="8.88671875" style="43"/>
  </cols>
  <sheetData>
    <row r="1" spans="2:12" ht="26.4" thickBot="1" x14ac:dyDescent="0.35">
      <c r="B1" s="74" t="s">
        <v>91</v>
      </c>
      <c r="C1" s="75"/>
      <c r="D1" s="75"/>
      <c r="E1" s="75"/>
      <c r="F1" s="75"/>
      <c r="G1" s="75"/>
      <c r="H1" s="75"/>
      <c r="I1" s="75"/>
      <c r="J1" s="75"/>
      <c r="K1" s="75"/>
      <c r="L1" s="76"/>
    </row>
    <row r="2" spans="2:12" ht="28.8" x14ac:dyDescent="0.3">
      <c r="B2" s="47" t="s">
        <v>21</v>
      </c>
      <c r="C2" s="32" t="s">
        <v>30</v>
      </c>
      <c r="D2" s="32" t="s">
        <v>3</v>
      </c>
      <c r="E2" s="32" t="s">
        <v>4</v>
      </c>
      <c r="F2" s="32" t="s">
        <v>17</v>
      </c>
      <c r="G2" s="32" t="s">
        <v>2</v>
      </c>
      <c r="H2" s="32" t="s">
        <v>10</v>
      </c>
      <c r="I2" s="32" t="s">
        <v>16</v>
      </c>
      <c r="J2" s="32" t="s">
        <v>18</v>
      </c>
      <c r="K2" s="32" t="s">
        <v>11</v>
      </c>
      <c r="L2" s="48" t="s">
        <v>20</v>
      </c>
    </row>
    <row r="3" spans="2:12" x14ac:dyDescent="0.3">
      <c r="B3" s="73" t="s">
        <v>22</v>
      </c>
      <c r="C3" s="73" t="s">
        <v>31</v>
      </c>
      <c r="D3" s="73" t="s">
        <v>23</v>
      </c>
      <c r="E3" s="68">
        <v>37.42</v>
      </c>
      <c r="F3" s="68">
        <v>37.42</v>
      </c>
      <c r="G3" s="61" t="s">
        <v>69</v>
      </c>
      <c r="H3" s="8">
        <v>0.25</v>
      </c>
      <c r="I3" s="8">
        <f>J3/$F$3</f>
        <v>0.2672368</v>
      </c>
      <c r="J3" s="8">
        <v>10.000001056</v>
      </c>
      <c r="K3" s="44">
        <f>I3/H3-1</f>
        <v>6.8947199999999986E-2</v>
      </c>
      <c r="L3" s="68">
        <v>4001</v>
      </c>
    </row>
    <row r="4" spans="2:12" x14ac:dyDescent="0.3">
      <c r="B4" s="73"/>
      <c r="C4" s="73"/>
      <c r="D4" s="73"/>
      <c r="E4" s="68"/>
      <c r="F4" s="68"/>
      <c r="G4" s="61" t="s">
        <v>70</v>
      </c>
      <c r="H4" s="8">
        <v>0.5</v>
      </c>
      <c r="I4" s="8">
        <f t="shared" ref="I4:I6" si="0">J4/$F$3</f>
        <v>0.53447354355959376</v>
      </c>
      <c r="J4" s="8">
        <v>20</v>
      </c>
      <c r="K4" s="44">
        <f t="shared" ref="K4:K6" si="1">I4/H4-1</f>
        <v>6.8947087119187511E-2</v>
      </c>
      <c r="L4" s="68"/>
    </row>
    <row r="5" spans="2:12" x14ac:dyDescent="0.3">
      <c r="B5" s="73"/>
      <c r="C5" s="73"/>
      <c r="D5" s="73"/>
      <c r="E5" s="68"/>
      <c r="F5" s="68"/>
      <c r="G5" s="61" t="s">
        <v>48</v>
      </c>
      <c r="H5" s="8">
        <v>0.5</v>
      </c>
      <c r="I5" s="8">
        <f t="shared" si="0"/>
        <v>0.53447354355959376</v>
      </c>
      <c r="J5" s="8">
        <v>20</v>
      </c>
      <c r="K5" s="44">
        <f t="shared" si="1"/>
        <v>6.8947087119187511E-2</v>
      </c>
      <c r="L5" s="68"/>
    </row>
    <row r="6" spans="2:12" x14ac:dyDescent="0.3">
      <c r="B6" s="73"/>
      <c r="C6" s="73"/>
      <c r="D6" s="73"/>
      <c r="E6" s="68"/>
      <c r="F6" s="68"/>
      <c r="G6" s="61" t="s">
        <v>49</v>
      </c>
      <c r="H6" s="8">
        <v>0.5</v>
      </c>
      <c r="I6" s="8">
        <f t="shared" si="0"/>
        <v>0.48102618920363438</v>
      </c>
      <c r="J6" s="8">
        <v>18</v>
      </c>
      <c r="K6" s="44">
        <f t="shared" si="1"/>
        <v>-3.794762159273124E-2</v>
      </c>
      <c r="L6" s="68"/>
    </row>
    <row r="7" spans="2:12" x14ac:dyDescent="0.3">
      <c r="B7" s="73" t="s">
        <v>24</v>
      </c>
      <c r="C7" s="73" t="s">
        <v>33</v>
      </c>
      <c r="D7" s="73" t="s">
        <v>25</v>
      </c>
      <c r="E7" s="68">
        <v>18.53</v>
      </c>
      <c r="F7" s="68">
        <v>18.53</v>
      </c>
      <c r="G7" s="61" t="s">
        <v>69</v>
      </c>
      <c r="H7" s="8">
        <v>0.25</v>
      </c>
      <c r="I7" s="8">
        <v>0.26983269999999998</v>
      </c>
      <c r="J7" s="8">
        <v>4.9999999309999996</v>
      </c>
      <c r="K7" s="44">
        <f>I7/H7-1</f>
        <v>7.9330799999999924E-2</v>
      </c>
      <c r="L7" s="68">
        <v>4002</v>
      </c>
    </row>
    <row r="8" spans="2:12" x14ac:dyDescent="0.3">
      <c r="B8" s="73"/>
      <c r="C8" s="73"/>
      <c r="D8" s="73"/>
      <c r="E8" s="68"/>
      <c r="F8" s="68"/>
      <c r="G8" s="45" t="s">
        <v>70</v>
      </c>
      <c r="H8" s="8">
        <v>0.5</v>
      </c>
      <c r="I8" s="8">
        <f>J8/$F$7</f>
        <v>0.53966540744738256</v>
      </c>
      <c r="J8" s="8">
        <v>10</v>
      </c>
      <c r="K8" s="44">
        <f t="shared" ref="K8:K10" si="2">I8/H8-1</f>
        <v>7.9330814894765123E-2</v>
      </c>
      <c r="L8" s="68"/>
    </row>
    <row r="9" spans="2:12" x14ac:dyDescent="0.3">
      <c r="B9" s="73"/>
      <c r="C9" s="73"/>
      <c r="D9" s="73"/>
      <c r="E9" s="68"/>
      <c r="F9" s="68"/>
      <c r="G9" s="45" t="s">
        <v>48</v>
      </c>
      <c r="H9" s="8">
        <v>0.5</v>
      </c>
      <c r="I9" s="8">
        <f t="shared" ref="I9:I10" si="3">J9/$F$7</f>
        <v>0.53966540744738256</v>
      </c>
      <c r="J9" s="8">
        <v>10</v>
      </c>
      <c r="K9" s="44">
        <f t="shared" si="2"/>
        <v>7.9330814894765123E-2</v>
      </c>
      <c r="L9" s="68"/>
    </row>
    <row r="10" spans="2:12" x14ac:dyDescent="0.3">
      <c r="B10" s="73"/>
      <c r="C10" s="73"/>
      <c r="D10" s="73"/>
      <c r="E10" s="68"/>
      <c r="F10" s="68"/>
      <c r="G10" s="45" t="s">
        <v>49</v>
      </c>
      <c r="H10" s="8">
        <v>0.5</v>
      </c>
      <c r="I10" s="8">
        <f t="shared" si="3"/>
        <v>0.59363194819212084</v>
      </c>
      <c r="J10" s="8">
        <v>11</v>
      </c>
      <c r="K10" s="44">
        <f t="shared" si="2"/>
        <v>0.18726389638424168</v>
      </c>
      <c r="L10" s="68"/>
    </row>
    <row r="11" spans="2:12" x14ac:dyDescent="0.3">
      <c r="B11" s="73"/>
      <c r="C11" s="73"/>
      <c r="D11" s="73"/>
      <c r="E11" s="68"/>
      <c r="F11" s="68"/>
      <c r="G11" s="45" t="s">
        <v>71</v>
      </c>
      <c r="H11" s="8">
        <v>10</v>
      </c>
      <c r="I11" s="8">
        <f>J11/$F$7</f>
        <v>12.649757150566648</v>
      </c>
      <c r="J11" s="8">
        <v>234.4</v>
      </c>
      <c r="K11" s="44">
        <f>I11/H11-1</f>
        <v>0.26497571505666473</v>
      </c>
      <c r="L11" s="68"/>
    </row>
    <row r="12" spans="2:12" x14ac:dyDescent="0.3">
      <c r="B12" s="73" t="s">
        <v>28</v>
      </c>
      <c r="C12" s="73" t="s">
        <v>35</v>
      </c>
      <c r="D12" s="73" t="s">
        <v>29</v>
      </c>
      <c r="E12" s="68">
        <v>29.03</v>
      </c>
      <c r="F12" s="68">
        <v>29.03</v>
      </c>
      <c r="G12" s="61" t="s">
        <v>69</v>
      </c>
      <c r="H12" s="8">
        <v>0.25</v>
      </c>
      <c r="I12" s="8">
        <f>J12/$F$12</f>
        <v>0.24112989999999998</v>
      </c>
      <c r="J12" s="8">
        <v>7.0000009969999999</v>
      </c>
      <c r="K12" s="44">
        <f>I12/H12-1</f>
        <v>-3.5480400000000079E-2</v>
      </c>
      <c r="L12" s="68">
        <v>4002</v>
      </c>
    </row>
    <row r="13" spans="2:12" x14ac:dyDescent="0.3">
      <c r="B13" s="73"/>
      <c r="C13" s="73"/>
      <c r="D13" s="73"/>
      <c r="E13" s="68"/>
      <c r="F13" s="68"/>
      <c r="G13" s="45" t="s">
        <v>72</v>
      </c>
      <c r="H13" s="8">
        <v>0.2</v>
      </c>
      <c r="I13" s="8">
        <f t="shared" ref="I13:I17" si="4">J13/$F$12</f>
        <v>0.20668274199104375</v>
      </c>
      <c r="J13" s="8">
        <v>6</v>
      </c>
      <c r="K13" s="44">
        <f t="shared" ref="K13:K66" si="5">I13/H13-1</f>
        <v>3.3413709955218751E-2</v>
      </c>
      <c r="L13" s="68"/>
    </row>
    <row r="14" spans="2:12" x14ac:dyDescent="0.3">
      <c r="B14" s="73"/>
      <c r="C14" s="73"/>
      <c r="D14" s="73"/>
      <c r="E14" s="68"/>
      <c r="F14" s="68"/>
      <c r="G14" s="45" t="s">
        <v>48</v>
      </c>
      <c r="H14" s="8">
        <v>0.5</v>
      </c>
      <c r="I14" s="8">
        <f t="shared" si="4"/>
        <v>0.51670685497760938</v>
      </c>
      <c r="J14" s="8">
        <v>15</v>
      </c>
      <c r="K14" s="44">
        <f t="shared" si="5"/>
        <v>3.3413709955218751E-2</v>
      </c>
      <c r="L14" s="68"/>
    </row>
    <row r="15" spans="2:12" x14ac:dyDescent="0.3">
      <c r="B15" s="73"/>
      <c r="C15" s="73"/>
      <c r="D15" s="73"/>
      <c r="E15" s="68"/>
      <c r="F15" s="68"/>
      <c r="G15" s="45" t="s">
        <v>73</v>
      </c>
      <c r="H15" s="8">
        <v>0.11</v>
      </c>
      <c r="I15" s="8">
        <f t="shared" si="4"/>
        <v>0.12056493282810885</v>
      </c>
      <c r="J15" s="8">
        <v>3.5</v>
      </c>
      <c r="K15" s="44">
        <f>I15/H15-1</f>
        <v>9.6044843891898601E-2</v>
      </c>
      <c r="L15" s="68"/>
    </row>
    <row r="16" spans="2:12" x14ac:dyDescent="0.3">
      <c r="B16" s="73"/>
      <c r="C16" s="73"/>
      <c r="D16" s="73"/>
      <c r="E16" s="68"/>
      <c r="F16" s="68"/>
      <c r="G16" s="45" t="s">
        <v>51</v>
      </c>
      <c r="H16" s="8">
        <v>0.3</v>
      </c>
      <c r="I16" s="8">
        <f t="shared" si="4"/>
        <v>0.31002411298656563</v>
      </c>
      <c r="J16" s="8">
        <v>9</v>
      </c>
      <c r="K16" s="44">
        <f t="shared" si="5"/>
        <v>3.3413709955218751E-2</v>
      </c>
      <c r="L16" s="68"/>
    </row>
    <row r="17" spans="2:12" x14ac:dyDescent="0.3">
      <c r="B17" s="73"/>
      <c r="C17" s="73"/>
      <c r="D17" s="73"/>
      <c r="E17" s="68"/>
      <c r="F17" s="68"/>
      <c r="G17" s="45" t="s">
        <v>71</v>
      </c>
      <c r="H17" s="8">
        <v>10</v>
      </c>
      <c r="I17" s="8">
        <f t="shared" si="4"/>
        <v>10.168790905959352</v>
      </c>
      <c r="J17" s="8">
        <v>295.2</v>
      </c>
      <c r="K17" s="44">
        <f t="shared" si="5"/>
        <v>1.6879090595935065E-2</v>
      </c>
      <c r="L17" s="68"/>
    </row>
    <row r="18" spans="2:12" x14ac:dyDescent="0.3">
      <c r="B18" s="73" t="s">
        <v>26</v>
      </c>
      <c r="C18" s="73" t="s">
        <v>32</v>
      </c>
      <c r="D18" s="73" t="s">
        <v>8</v>
      </c>
      <c r="E18" s="68">
        <v>90.16</v>
      </c>
      <c r="F18" s="68">
        <v>90.16</v>
      </c>
      <c r="G18" s="61" t="s">
        <v>69</v>
      </c>
      <c r="H18" s="8">
        <v>0.25</v>
      </c>
      <c r="I18" s="8">
        <f>J18/$F$18</f>
        <v>0.23291930000000002</v>
      </c>
      <c r="J18" s="8">
        <v>21.000004088000001</v>
      </c>
      <c r="K18" s="44">
        <f t="shared" si="5"/>
        <v>-6.8322799999999906E-2</v>
      </c>
      <c r="L18" s="68">
        <v>4001</v>
      </c>
    </row>
    <row r="19" spans="2:12" x14ac:dyDescent="0.3">
      <c r="B19" s="73"/>
      <c r="C19" s="73"/>
      <c r="D19" s="73"/>
      <c r="E19" s="68"/>
      <c r="F19" s="68"/>
      <c r="G19" s="61" t="s">
        <v>49</v>
      </c>
      <c r="H19" s="8">
        <v>0.5</v>
      </c>
      <c r="I19" s="8">
        <f>J19/$F$18</f>
        <v>0.46583850931677018</v>
      </c>
      <c r="J19" s="8">
        <v>42</v>
      </c>
      <c r="K19" s="44">
        <f t="shared" si="5"/>
        <v>-6.8322981366459645E-2</v>
      </c>
      <c r="L19" s="68"/>
    </row>
    <row r="20" spans="2:12" x14ac:dyDescent="0.3">
      <c r="B20" s="73"/>
      <c r="C20" s="73"/>
      <c r="D20" s="73"/>
      <c r="E20" s="68"/>
      <c r="F20" s="68"/>
      <c r="G20" s="45" t="s">
        <v>48</v>
      </c>
      <c r="H20" s="8">
        <v>0.5</v>
      </c>
      <c r="I20" s="8">
        <f>J20/$F$18</f>
        <v>0.44365572315882879</v>
      </c>
      <c r="J20" s="8">
        <v>40</v>
      </c>
      <c r="K20" s="44">
        <f t="shared" si="5"/>
        <v>-0.11268855368234243</v>
      </c>
      <c r="L20" s="68"/>
    </row>
    <row r="21" spans="2:12" x14ac:dyDescent="0.3">
      <c r="B21" s="73"/>
      <c r="C21" s="73"/>
      <c r="D21" s="73"/>
      <c r="E21" s="68"/>
      <c r="F21" s="68"/>
      <c r="G21" s="61" t="s">
        <v>72</v>
      </c>
      <c r="H21" s="8">
        <v>0.2</v>
      </c>
      <c r="I21" s="8">
        <f t="shared" ref="I21:I23" si="6">J21/$F$18</f>
        <v>0.19409937888198758</v>
      </c>
      <c r="J21" s="8">
        <v>17.5</v>
      </c>
      <c r="K21" s="44">
        <f t="shared" si="5"/>
        <v>-2.9503105590062084E-2</v>
      </c>
      <c r="L21" s="68"/>
    </row>
    <row r="22" spans="2:12" x14ac:dyDescent="0.3">
      <c r="B22" s="73"/>
      <c r="C22" s="73"/>
      <c r="D22" s="73"/>
      <c r="E22" s="68"/>
      <c r="F22" s="68"/>
      <c r="G22" s="61" t="s">
        <v>51</v>
      </c>
      <c r="H22" s="8">
        <v>0.3</v>
      </c>
      <c r="I22" s="8">
        <f t="shared" si="6"/>
        <v>0.28283052351375332</v>
      </c>
      <c r="J22" s="8">
        <v>25.5</v>
      </c>
      <c r="K22" s="44">
        <f t="shared" si="5"/>
        <v>-5.7231588287488866E-2</v>
      </c>
      <c r="L22" s="68"/>
    </row>
    <row r="23" spans="2:12" x14ac:dyDescent="0.3">
      <c r="B23" s="73"/>
      <c r="C23" s="73"/>
      <c r="D23" s="73"/>
      <c r="E23" s="68"/>
      <c r="F23" s="68"/>
      <c r="G23" s="61" t="s">
        <v>74</v>
      </c>
      <c r="H23" s="8">
        <v>0.15</v>
      </c>
      <c r="I23" s="8">
        <f t="shared" si="6"/>
        <v>0.12078527062999114</v>
      </c>
      <c r="J23" s="8">
        <v>10.89</v>
      </c>
      <c r="K23" s="44">
        <f t="shared" si="5"/>
        <v>-0.19476486246672564</v>
      </c>
      <c r="L23" s="68"/>
    </row>
    <row r="24" spans="2:12" x14ac:dyDescent="0.3">
      <c r="B24" s="73" t="s">
        <v>27</v>
      </c>
      <c r="C24" s="73" t="s">
        <v>34</v>
      </c>
      <c r="D24" s="73" t="s">
        <v>9</v>
      </c>
      <c r="E24" s="68">
        <v>128.61000000000001</v>
      </c>
      <c r="F24" s="68">
        <v>128.61000000000001</v>
      </c>
      <c r="G24" s="61" t="s">
        <v>69</v>
      </c>
      <c r="H24" s="8">
        <v>0.25</v>
      </c>
      <c r="I24" s="8">
        <f>J24/$F$24</f>
        <v>0.23326339999999998</v>
      </c>
      <c r="J24" s="8">
        <v>30.000005873999999</v>
      </c>
      <c r="K24" s="44">
        <f t="shared" si="5"/>
        <v>-6.6946400000000073E-2</v>
      </c>
      <c r="L24" s="68">
        <v>4009</v>
      </c>
    </row>
    <row r="25" spans="2:12" x14ac:dyDescent="0.3">
      <c r="B25" s="73"/>
      <c r="C25" s="73"/>
      <c r="D25" s="73"/>
      <c r="E25" s="68"/>
      <c r="F25" s="68"/>
      <c r="G25" s="61" t="s">
        <v>49</v>
      </c>
      <c r="H25" s="8">
        <v>0.5</v>
      </c>
      <c r="I25" s="8">
        <f t="shared" ref="I25:I29" si="7">J25/$F$24</f>
        <v>0.48985304408677394</v>
      </c>
      <c r="J25" s="8">
        <v>63</v>
      </c>
      <c r="K25" s="44">
        <f t="shared" si="5"/>
        <v>-2.0293911826452127E-2</v>
      </c>
      <c r="L25" s="68"/>
    </row>
    <row r="26" spans="2:12" x14ac:dyDescent="0.3">
      <c r="B26" s="73"/>
      <c r="C26" s="73"/>
      <c r="D26" s="73"/>
      <c r="E26" s="68"/>
      <c r="F26" s="68"/>
      <c r="G26" s="61" t="s">
        <v>75</v>
      </c>
      <c r="H26" s="8">
        <v>0.5</v>
      </c>
      <c r="I26" s="8">
        <f>J26/$F$24</f>
        <v>0.46652670865407042</v>
      </c>
      <c r="J26" s="8">
        <v>60</v>
      </c>
      <c r="K26" s="44">
        <f t="shared" si="5"/>
        <v>-6.6946582691859158E-2</v>
      </c>
      <c r="L26" s="68"/>
    </row>
    <row r="27" spans="2:12" x14ac:dyDescent="0.3">
      <c r="B27" s="73"/>
      <c r="C27" s="73"/>
      <c r="D27" s="73"/>
      <c r="E27" s="68"/>
      <c r="F27" s="68"/>
      <c r="G27" s="61" t="s">
        <v>72</v>
      </c>
      <c r="H27" s="8">
        <v>0.2</v>
      </c>
      <c r="I27" s="8">
        <f t="shared" si="7"/>
        <v>0.19438612860586266</v>
      </c>
      <c r="J27" s="8">
        <v>25</v>
      </c>
      <c r="K27" s="44">
        <f t="shared" si="5"/>
        <v>-2.8069356970686798E-2</v>
      </c>
      <c r="L27" s="68"/>
    </row>
    <row r="28" spans="2:12" x14ac:dyDescent="0.3">
      <c r="B28" s="73"/>
      <c r="C28" s="73"/>
      <c r="D28" s="73"/>
      <c r="E28" s="68"/>
      <c r="F28" s="68"/>
      <c r="G28" s="61" t="s">
        <v>51</v>
      </c>
      <c r="H28" s="8">
        <v>0.3</v>
      </c>
      <c r="I28" s="8">
        <f t="shared" si="7"/>
        <v>0.27991602519244224</v>
      </c>
      <c r="J28" s="8">
        <v>36</v>
      </c>
      <c r="K28" s="44">
        <f t="shared" si="5"/>
        <v>-6.6946582691859158E-2</v>
      </c>
      <c r="L28" s="68"/>
    </row>
    <row r="29" spans="2:12" x14ac:dyDescent="0.3">
      <c r="B29" s="73"/>
      <c r="C29" s="73"/>
      <c r="D29" s="73"/>
      <c r="E29" s="68"/>
      <c r="F29" s="68"/>
      <c r="G29" s="61" t="s">
        <v>74</v>
      </c>
      <c r="H29" s="8">
        <v>0.15</v>
      </c>
      <c r="I29" s="8">
        <f t="shared" si="7"/>
        <v>0.1433792084596843</v>
      </c>
      <c r="J29" s="8">
        <v>18.440000000000001</v>
      </c>
      <c r="K29" s="44">
        <f t="shared" si="5"/>
        <v>-4.4138610268771306E-2</v>
      </c>
      <c r="L29" s="68"/>
    </row>
    <row r="30" spans="2:12" x14ac:dyDescent="0.3">
      <c r="B30" s="68">
        <v>8134</v>
      </c>
      <c r="C30" s="73" t="s">
        <v>36</v>
      </c>
      <c r="D30" s="73" t="s">
        <v>12</v>
      </c>
      <c r="E30" s="68">
        <v>22.18</v>
      </c>
      <c r="F30" s="68">
        <v>22.18</v>
      </c>
      <c r="G30" s="61" t="s">
        <v>69</v>
      </c>
      <c r="H30" s="8">
        <v>0.25</v>
      </c>
      <c r="I30" s="8">
        <f>J30/$F$30</f>
        <v>0.2655545536519387</v>
      </c>
      <c r="J30" s="8">
        <v>5.89</v>
      </c>
      <c r="K30" s="44">
        <f t="shared" si="5"/>
        <v>6.2218214607754785E-2</v>
      </c>
      <c r="L30" s="68">
        <v>4001</v>
      </c>
    </row>
    <row r="31" spans="2:12" x14ac:dyDescent="0.3">
      <c r="B31" s="68"/>
      <c r="C31" s="73"/>
      <c r="D31" s="73"/>
      <c r="E31" s="68"/>
      <c r="F31" s="68"/>
      <c r="G31" s="61" t="s">
        <v>49</v>
      </c>
      <c r="H31" s="8">
        <v>0.5</v>
      </c>
      <c r="I31" s="8">
        <f t="shared" ref="I31:I35" si="8">J31/$F$30</f>
        <v>0.54102795311091079</v>
      </c>
      <c r="J31" s="8">
        <v>12</v>
      </c>
      <c r="K31" s="44">
        <f t="shared" si="5"/>
        <v>8.2055906221821573E-2</v>
      </c>
      <c r="L31" s="68"/>
    </row>
    <row r="32" spans="2:12" x14ac:dyDescent="0.3">
      <c r="B32" s="68"/>
      <c r="C32" s="73"/>
      <c r="D32" s="73"/>
      <c r="E32" s="68"/>
      <c r="F32" s="68"/>
      <c r="G32" s="61" t="s">
        <v>74</v>
      </c>
      <c r="H32" s="8">
        <v>0.15</v>
      </c>
      <c r="I32" s="8">
        <f>J32/$F$30</f>
        <v>0.14878268710550044</v>
      </c>
      <c r="J32" s="8">
        <v>3.3</v>
      </c>
      <c r="K32" s="44">
        <f t="shared" si="5"/>
        <v>-8.1154192966637062E-3</v>
      </c>
      <c r="L32" s="68"/>
    </row>
    <row r="33" spans="2:12" x14ac:dyDescent="0.3">
      <c r="B33" s="68"/>
      <c r="C33" s="73"/>
      <c r="D33" s="73"/>
      <c r="E33" s="68"/>
      <c r="F33" s="68"/>
      <c r="G33" s="61" t="s">
        <v>75</v>
      </c>
      <c r="H33" s="8">
        <v>0.5</v>
      </c>
      <c r="I33" s="8">
        <f t="shared" si="8"/>
        <v>0.51848512173128947</v>
      </c>
      <c r="J33" s="8">
        <v>11.5</v>
      </c>
      <c r="K33" s="44">
        <f t="shared" si="5"/>
        <v>3.6970243462578933E-2</v>
      </c>
      <c r="L33" s="68"/>
    </row>
    <row r="34" spans="2:12" x14ac:dyDescent="0.3">
      <c r="B34" s="68"/>
      <c r="C34" s="73"/>
      <c r="D34" s="73"/>
      <c r="E34" s="68"/>
      <c r="F34" s="68"/>
      <c r="G34" s="61" t="s">
        <v>72</v>
      </c>
      <c r="H34" s="8">
        <v>0.2</v>
      </c>
      <c r="I34" s="8">
        <f t="shared" si="8"/>
        <v>0.19386834986474299</v>
      </c>
      <c r="J34" s="8">
        <v>4.3</v>
      </c>
      <c r="K34" s="44">
        <f t="shared" si="5"/>
        <v>-3.0658250676285026E-2</v>
      </c>
      <c r="L34" s="68"/>
    </row>
    <row r="35" spans="2:12" x14ac:dyDescent="0.3">
      <c r="B35" s="68"/>
      <c r="C35" s="73"/>
      <c r="D35" s="73"/>
      <c r="E35" s="68"/>
      <c r="F35" s="68"/>
      <c r="G35" s="61" t="s">
        <v>51</v>
      </c>
      <c r="H35" s="8">
        <v>0.3</v>
      </c>
      <c r="I35" s="8">
        <f t="shared" si="8"/>
        <v>0.29305680793507666</v>
      </c>
      <c r="J35" s="8">
        <v>6.5</v>
      </c>
      <c r="K35" s="44">
        <f t="shared" si="5"/>
        <v>-2.3143973549744401E-2</v>
      </c>
      <c r="L35" s="68"/>
    </row>
    <row r="36" spans="2:12" x14ac:dyDescent="0.3">
      <c r="B36" s="68">
        <v>8275</v>
      </c>
      <c r="C36" s="73" t="s">
        <v>37</v>
      </c>
      <c r="D36" s="73" t="s">
        <v>13</v>
      </c>
      <c r="E36" s="68">
        <v>4.84</v>
      </c>
      <c r="F36" s="68">
        <v>4.84</v>
      </c>
      <c r="G36" s="61" t="s">
        <v>69</v>
      </c>
      <c r="H36" s="8">
        <v>0.25</v>
      </c>
      <c r="I36" s="8">
        <f>J36/$F$36</f>
        <v>0.25826446280991738</v>
      </c>
      <c r="J36" s="8">
        <v>1.25</v>
      </c>
      <c r="K36" s="44">
        <f t="shared" si="5"/>
        <v>3.3057851239669533E-2</v>
      </c>
      <c r="L36" s="68">
        <v>4001</v>
      </c>
    </row>
    <row r="37" spans="2:12" x14ac:dyDescent="0.3">
      <c r="B37" s="68"/>
      <c r="C37" s="73"/>
      <c r="D37" s="73"/>
      <c r="E37" s="68"/>
      <c r="F37" s="68"/>
      <c r="G37" s="61" t="s">
        <v>49</v>
      </c>
      <c r="H37" s="8">
        <v>0.5</v>
      </c>
      <c r="I37" s="8">
        <f t="shared" ref="I37:I41" si="9">J37/$F$36</f>
        <v>0.51652892561983477</v>
      </c>
      <c r="J37" s="8">
        <v>2.5</v>
      </c>
      <c r="K37" s="44">
        <f t="shared" si="5"/>
        <v>3.3057851239669533E-2</v>
      </c>
      <c r="L37" s="68"/>
    </row>
    <row r="38" spans="2:12" x14ac:dyDescent="0.3">
      <c r="B38" s="68"/>
      <c r="C38" s="73"/>
      <c r="D38" s="73"/>
      <c r="E38" s="68"/>
      <c r="F38" s="68"/>
      <c r="G38" s="61" t="s">
        <v>74</v>
      </c>
      <c r="H38" s="8">
        <v>0.15</v>
      </c>
      <c r="I38" s="8">
        <f t="shared" si="9"/>
        <v>0.14462809917355371</v>
      </c>
      <c r="J38" s="8">
        <v>0.7</v>
      </c>
      <c r="K38" s="44">
        <f t="shared" si="5"/>
        <v>-3.5812672176308569E-2</v>
      </c>
      <c r="L38" s="68"/>
    </row>
    <row r="39" spans="2:12" x14ac:dyDescent="0.3">
      <c r="B39" s="68"/>
      <c r="C39" s="73"/>
      <c r="D39" s="73"/>
      <c r="E39" s="68"/>
      <c r="F39" s="68"/>
      <c r="G39" s="61" t="s">
        <v>75</v>
      </c>
      <c r="H39" s="8">
        <v>0.5</v>
      </c>
      <c r="I39" s="8">
        <f t="shared" si="9"/>
        <v>0.51652892561983477</v>
      </c>
      <c r="J39" s="8">
        <v>2.5</v>
      </c>
      <c r="K39" s="44">
        <f t="shared" si="5"/>
        <v>3.3057851239669533E-2</v>
      </c>
      <c r="L39" s="68"/>
    </row>
    <row r="40" spans="2:12" x14ac:dyDescent="0.3">
      <c r="B40" s="68"/>
      <c r="C40" s="73"/>
      <c r="D40" s="73"/>
      <c r="E40" s="68"/>
      <c r="F40" s="68"/>
      <c r="G40" s="61" t="s">
        <v>72</v>
      </c>
      <c r="H40" s="8">
        <v>0.2</v>
      </c>
      <c r="I40" s="8">
        <f t="shared" si="9"/>
        <v>0.19628099173553717</v>
      </c>
      <c r="J40" s="8">
        <v>0.95</v>
      </c>
      <c r="K40" s="44">
        <f t="shared" si="5"/>
        <v>-1.8595041322314154E-2</v>
      </c>
      <c r="L40" s="68"/>
    </row>
    <row r="41" spans="2:12" x14ac:dyDescent="0.3">
      <c r="B41" s="68"/>
      <c r="C41" s="73"/>
      <c r="D41" s="73"/>
      <c r="E41" s="68"/>
      <c r="F41" s="68"/>
      <c r="G41" s="61" t="s">
        <v>51</v>
      </c>
      <c r="H41" s="8">
        <v>0.3</v>
      </c>
      <c r="I41" s="8">
        <f t="shared" si="9"/>
        <v>0.28925619834710742</v>
      </c>
      <c r="J41" s="8">
        <v>1.4</v>
      </c>
      <c r="K41" s="44">
        <f t="shared" si="5"/>
        <v>-3.5812672176308569E-2</v>
      </c>
      <c r="L41" s="68"/>
    </row>
    <row r="42" spans="2:12" x14ac:dyDescent="0.3">
      <c r="B42" s="68">
        <v>8251</v>
      </c>
      <c r="C42" s="73" t="s">
        <v>38</v>
      </c>
      <c r="D42" s="73" t="s">
        <v>14</v>
      </c>
      <c r="E42" s="68">
        <v>33.04</v>
      </c>
      <c r="F42" s="68">
        <v>33.04</v>
      </c>
      <c r="G42" s="61" t="s">
        <v>69</v>
      </c>
      <c r="H42" s="8">
        <v>0.25</v>
      </c>
      <c r="I42" s="8">
        <f>J42/$F$42</f>
        <v>0.26815980629539948</v>
      </c>
      <c r="J42" s="8">
        <v>8.86</v>
      </c>
      <c r="K42" s="44">
        <f t="shared" si="5"/>
        <v>7.2639225181597933E-2</v>
      </c>
      <c r="L42" s="68">
        <v>4001</v>
      </c>
    </row>
    <row r="43" spans="2:12" x14ac:dyDescent="0.3">
      <c r="B43" s="68"/>
      <c r="C43" s="73"/>
      <c r="D43" s="73"/>
      <c r="E43" s="68"/>
      <c r="F43" s="68"/>
      <c r="G43" s="61" t="s">
        <v>49</v>
      </c>
      <c r="H43" s="8">
        <v>0.5</v>
      </c>
      <c r="I43" s="8">
        <f t="shared" ref="I43:I47" si="10">J43/$F$42</f>
        <v>0.49939467312348668</v>
      </c>
      <c r="J43" s="8">
        <v>16.5</v>
      </c>
      <c r="K43" s="44">
        <f t="shared" si="5"/>
        <v>-1.210653753026647E-3</v>
      </c>
      <c r="L43" s="68"/>
    </row>
    <row r="44" spans="2:12" x14ac:dyDescent="0.3">
      <c r="B44" s="68"/>
      <c r="C44" s="73"/>
      <c r="D44" s="73"/>
      <c r="E44" s="68"/>
      <c r="F44" s="68"/>
      <c r="G44" s="61" t="s">
        <v>74</v>
      </c>
      <c r="H44" s="8">
        <v>0.15</v>
      </c>
      <c r="I44" s="8">
        <f t="shared" si="10"/>
        <v>0.14830508474576273</v>
      </c>
      <c r="J44" s="8">
        <v>4.9000000000000004</v>
      </c>
      <c r="K44" s="44">
        <f t="shared" si="5"/>
        <v>-1.1299435028248372E-2</v>
      </c>
      <c r="L44" s="68"/>
    </row>
    <row r="45" spans="2:12" x14ac:dyDescent="0.3">
      <c r="B45" s="68"/>
      <c r="C45" s="73"/>
      <c r="D45" s="73"/>
      <c r="E45" s="68"/>
      <c r="F45" s="68"/>
      <c r="G45" s="61" t="s">
        <v>75</v>
      </c>
      <c r="H45" s="8">
        <v>0.5</v>
      </c>
      <c r="I45" s="8">
        <f t="shared" si="10"/>
        <v>0.51452784503631965</v>
      </c>
      <c r="J45" s="8">
        <v>17</v>
      </c>
      <c r="K45" s="44">
        <f t="shared" si="5"/>
        <v>2.9055690072639306E-2</v>
      </c>
      <c r="L45" s="68"/>
    </row>
    <row r="46" spans="2:12" x14ac:dyDescent="0.3">
      <c r="B46" s="68"/>
      <c r="C46" s="73"/>
      <c r="D46" s="73"/>
      <c r="E46" s="68"/>
      <c r="F46" s="68"/>
      <c r="G46" s="61" t="s">
        <v>72</v>
      </c>
      <c r="H46" s="8">
        <v>0.2</v>
      </c>
      <c r="I46" s="8">
        <f t="shared" si="10"/>
        <v>0.18916464891041163</v>
      </c>
      <c r="J46" s="8">
        <v>6.25</v>
      </c>
      <c r="K46" s="44">
        <f t="shared" si="5"/>
        <v>-5.4176755447941871E-2</v>
      </c>
      <c r="L46" s="68"/>
    </row>
    <row r="47" spans="2:12" x14ac:dyDescent="0.3">
      <c r="B47" s="68"/>
      <c r="C47" s="73"/>
      <c r="D47" s="73"/>
      <c r="E47" s="68"/>
      <c r="F47" s="68"/>
      <c r="G47" s="61" t="s">
        <v>51</v>
      </c>
      <c r="H47" s="8">
        <v>0.3</v>
      </c>
      <c r="I47" s="8">
        <f t="shared" si="10"/>
        <v>0.29055690072639223</v>
      </c>
      <c r="J47" s="8">
        <v>9.6</v>
      </c>
      <c r="K47" s="44">
        <f t="shared" si="5"/>
        <v>-3.1476997578692489E-2</v>
      </c>
      <c r="L47" s="68"/>
    </row>
    <row r="48" spans="2:12" x14ac:dyDescent="0.3">
      <c r="B48" s="68">
        <v>8189</v>
      </c>
      <c r="C48" s="73" t="s">
        <v>39</v>
      </c>
      <c r="D48" s="73" t="s">
        <v>40</v>
      </c>
      <c r="E48" s="68">
        <v>112.05</v>
      </c>
      <c r="F48" s="68">
        <v>112.05</v>
      </c>
      <c r="G48" s="61" t="s">
        <v>69</v>
      </c>
      <c r="H48" s="8">
        <v>0.25</v>
      </c>
      <c r="I48" s="8">
        <f>J48/$F$48</f>
        <v>0.2677376171352075</v>
      </c>
      <c r="J48" s="8">
        <v>30</v>
      </c>
      <c r="K48" s="44">
        <f t="shared" si="5"/>
        <v>7.0950468540829981E-2</v>
      </c>
      <c r="L48" s="68">
        <v>4002</v>
      </c>
    </row>
    <row r="49" spans="2:13" x14ac:dyDescent="0.3">
      <c r="B49" s="68"/>
      <c r="C49" s="73"/>
      <c r="D49" s="73"/>
      <c r="E49" s="68"/>
      <c r="F49" s="68"/>
      <c r="G49" s="61" t="s">
        <v>73</v>
      </c>
      <c r="H49" s="8">
        <v>0.11</v>
      </c>
      <c r="I49" s="8">
        <f t="shared" ref="I49:I53" si="11">J49/$F$48</f>
        <v>0.11601963409192326</v>
      </c>
      <c r="J49" s="8">
        <v>13</v>
      </c>
      <c r="K49" s="44">
        <f t="shared" si="5"/>
        <v>5.4723946290211378E-2</v>
      </c>
      <c r="L49" s="68"/>
    </row>
    <row r="50" spans="2:13" x14ac:dyDescent="0.3">
      <c r="B50" s="68"/>
      <c r="C50" s="73"/>
      <c r="D50" s="73"/>
      <c r="E50" s="68"/>
      <c r="F50" s="68"/>
      <c r="G50" s="61" t="s">
        <v>75</v>
      </c>
      <c r="H50" s="8">
        <v>0.5</v>
      </c>
      <c r="I50" s="8">
        <f t="shared" si="11"/>
        <v>0.51762605979473453</v>
      </c>
      <c r="J50" s="8">
        <v>58</v>
      </c>
      <c r="K50" s="44">
        <f t="shared" si="5"/>
        <v>3.5252119589469055E-2</v>
      </c>
      <c r="L50" s="68"/>
    </row>
    <row r="51" spans="2:13" x14ac:dyDescent="0.3">
      <c r="B51" s="68"/>
      <c r="C51" s="73"/>
      <c r="D51" s="73"/>
      <c r="E51" s="68"/>
      <c r="F51" s="68"/>
      <c r="G51" s="61" t="s">
        <v>72</v>
      </c>
      <c r="H51" s="8">
        <v>0.2</v>
      </c>
      <c r="I51" s="8">
        <f t="shared" si="11"/>
        <v>0.214190093708166</v>
      </c>
      <c r="J51" s="8">
        <v>24</v>
      </c>
      <c r="K51" s="44">
        <f t="shared" si="5"/>
        <v>7.0950468540829981E-2</v>
      </c>
      <c r="L51" s="68"/>
    </row>
    <row r="52" spans="2:13" x14ac:dyDescent="0.3">
      <c r="B52" s="68"/>
      <c r="C52" s="73"/>
      <c r="D52" s="73"/>
      <c r="E52" s="68"/>
      <c r="F52" s="68"/>
      <c r="G52" s="61" t="s">
        <v>51</v>
      </c>
      <c r="H52" s="8">
        <v>0.3</v>
      </c>
      <c r="I52" s="8">
        <f t="shared" si="11"/>
        <v>0.31236055332440876</v>
      </c>
      <c r="J52" s="8">
        <v>35</v>
      </c>
      <c r="K52" s="44">
        <f t="shared" si="5"/>
        <v>4.1201844414695987E-2</v>
      </c>
      <c r="L52" s="68"/>
    </row>
    <row r="53" spans="2:13" x14ac:dyDescent="0.3">
      <c r="B53" s="68"/>
      <c r="C53" s="73"/>
      <c r="D53" s="73"/>
      <c r="E53" s="68"/>
      <c r="F53" s="68"/>
      <c r="G53" s="61" t="s">
        <v>71</v>
      </c>
      <c r="H53" s="8">
        <v>10</v>
      </c>
      <c r="I53" s="8">
        <f t="shared" si="11"/>
        <v>7.9286925479696562</v>
      </c>
      <c r="J53" s="8">
        <v>888.41</v>
      </c>
      <c r="K53" s="44">
        <f t="shared" si="5"/>
        <v>-0.20713074520303443</v>
      </c>
      <c r="L53" s="68"/>
    </row>
    <row r="54" spans="2:13" x14ac:dyDescent="0.3">
      <c r="B54" s="68">
        <v>8359</v>
      </c>
      <c r="C54" s="73" t="s">
        <v>41</v>
      </c>
      <c r="D54" s="73" t="s">
        <v>42</v>
      </c>
      <c r="E54" s="68">
        <v>53.48</v>
      </c>
      <c r="F54" s="69">
        <v>53.48</v>
      </c>
      <c r="G54" s="61" t="s">
        <v>69</v>
      </c>
      <c r="H54" s="8">
        <v>0.25</v>
      </c>
      <c r="I54" s="8">
        <f>J54/$F$54</f>
        <v>0.26178010471204188</v>
      </c>
      <c r="J54" s="8">
        <v>14</v>
      </c>
      <c r="K54" s="44">
        <f t="shared" si="5"/>
        <v>4.7120418848167533E-2</v>
      </c>
      <c r="L54" s="68">
        <v>4002</v>
      </c>
    </row>
    <row r="55" spans="2:13" x14ac:dyDescent="0.3">
      <c r="B55" s="68"/>
      <c r="C55" s="73"/>
      <c r="D55" s="73"/>
      <c r="E55" s="68"/>
      <c r="F55" s="70"/>
      <c r="G55" s="61" t="s">
        <v>73</v>
      </c>
      <c r="H55" s="8">
        <v>0.11</v>
      </c>
      <c r="I55" s="8">
        <f t="shared" ref="I55:I61" si="12">J55/$F$54</f>
        <v>0.11219147344801796</v>
      </c>
      <c r="J55" s="8">
        <v>6</v>
      </c>
      <c r="K55" s="44">
        <f t="shared" si="5"/>
        <v>1.9922485891072261E-2</v>
      </c>
      <c r="L55" s="68"/>
    </row>
    <row r="56" spans="2:13" x14ac:dyDescent="0.3">
      <c r="B56" s="68"/>
      <c r="C56" s="73"/>
      <c r="D56" s="73"/>
      <c r="E56" s="68"/>
      <c r="F56" s="70"/>
      <c r="G56" s="61" t="s">
        <v>75</v>
      </c>
      <c r="H56" s="8">
        <v>0.5</v>
      </c>
      <c r="I56" s="8">
        <f t="shared" si="12"/>
        <v>0.52356020942408377</v>
      </c>
      <c r="J56" s="8">
        <v>28</v>
      </c>
      <c r="K56" s="44">
        <f t="shared" si="5"/>
        <v>4.7120418848167533E-2</v>
      </c>
      <c r="L56" s="68"/>
    </row>
    <row r="57" spans="2:13" x14ac:dyDescent="0.3">
      <c r="B57" s="68"/>
      <c r="C57" s="73"/>
      <c r="D57" s="73"/>
      <c r="E57" s="68"/>
      <c r="F57" s="70"/>
      <c r="G57" s="61" t="s">
        <v>72</v>
      </c>
      <c r="H57" s="8">
        <v>0.2</v>
      </c>
      <c r="I57" s="8">
        <f t="shared" si="12"/>
        <v>0.20568436798803291</v>
      </c>
      <c r="J57" s="8">
        <v>11</v>
      </c>
      <c r="K57" s="44">
        <f t="shared" si="5"/>
        <v>2.8421839940164562E-2</v>
      </c>
      <c r="L57" s="68"/>
    </row>
    <row r="58" spans="2:13" x14ac:dyDescent="0.3">
      <c r="B58" s="68"/>
      <c r="C58" s="73"/>
      <c r="D58" s="73"/>
      <c r="E58" s="68"/>
      <c r="F58" s="71"/>
      <c r="G58" s="61" t="s">
        <v>51</v>
      </c>
      <c r="H58" s="8">
        <v>0.3</v>
      </c>
      <c r="I58" s="8">
        <f t="shared" si="12"/>
        <v>0.29917726252804788</v>
      </c>
      <c r="J58" s="8">
        <v>16</v>
      </c>
      <c r="K58" s="44">
        <f t="shared" si="5"/>
        <v>-2.7424582398403174E-3</v>
      </c>
      <c r="L58" s="68"/>
    </row>
    <row r="59" spans="2:13" x14ac:dyDescent="0.3">
      <c r="B59" s="68"/>
      <c r="C59" s="73"/>
      <c r="D59" s="73"/>
      <c r="E59" s="68"/>
      <c r="F59" s="60">
        <v>33.33</v>
      </c>
      <c r="G59" s="61" t="s">
        <v>77</v>
      </c>
      <c r="H59" s="8">
        <v>0.3</v>
      </c>
      <c r="I59" s="8">
        <f>J59/$F$59</f>
        <v>0.30003000300030003</v>
      </c>
      <c r="J59" s="8">
        <v>10</v>
      </c>
      <c r="K59" s="44">
        <f t="shared" si="5"/>
        <v>1.0001000100023916E-4</v>
      </c>
      <c r="L59" s="68"/>
      <c r="M59" s="43" t="s">
        <v>110</v>
      </c>
    </row>
    <row r="60" spans="2:13" x14ac:dyDescent="0.3">
      <c r="B60" s="68"/>
      <c r="C60" s="73"/>
      <c r="D60" s="73"/>
      <c r="E60" s="68"/>
      <c r="F60" s="60">
        <v>20.149999999999999</v>
      </c>
      <c r="G60" s="61" t="s">
        <v>76</v>
      </c>
      <c r="H60" s="8">
        <v>0.5</v>
      </c>
      <c r="I60" s="8">
        <f>J60/$F$60</f>
        <v>0.49627791563275436</v>
      </c>
      <c r="J60" s="8">
        <v>10</v>
      </c>
      <c r="K60" s="44">
        <f t="shared" ref="K60" si="13">I60/H60-1</f>
        <v>-7.4441687344912744E-3</v>
      </c>
      <c r="L60" s="68"/>
      <c r="M60" s="43" t="s">
        <v>111</v>
      </c>
    </row>
    <row r="61" spans="2:13" x14ac:dyDescent="0.3">
      <c r="B61" s="68"/>
      <c r="C61" s="73"/>
      <c r="D61" s="73"/>
      <c r="E61" s="68"/>
      <c r="F61" s="60">
        <v>53.48</v>
      </c>
      <c r="G61" s="61" t="s">
        <v>71</v>
      </c>
      <c r="H61" s="8">
        <v>10</v>
      </c>
      <c r="I61" s="8">
        <f t="shared" si="12"/>
        <v>11.342557965594615</v>
      </c>
      <c r="J61" s="8">
        <v>606.6</v>
      </c>
      <c r="K61" s="44">
        <f t="shared" si="5"/>
        <v>0.13425579655946152</v>
      </c>
      <c r="L61" s="68"/>
    </row>
    <row r="62" spans="2:13" x14ac:dyDescent="0.3">
      <c r="B62" s="68">
        <v>8241</v>
      </c>
      <c r="C62" s="73" t="s">
        <v>43</v>
      </c>
      <c r="D62" s="73" t="s">
        <v>44</v>
      </c>
      <c r="E62" s="68">
        <v>147.52000000000001</v>
      </c>
      <c r="F62" s="68">
        <v>147.52000000000001</v>
      </c>
      <c r="G62" s="61" t="s">
        <v>69</v>
      </c>
      <c r="H62" s="8">
        <v>0.25</v>
      </c>
      <c r="I62" s="8">
        <f t="shared" ref="I62:I72" si="14">J62/$F$67</f>
        <v>0.29033897074834869</v>
      </c>
      <c r="J62" s="8">
        <v>40</v>
      </c>
      <c r="K62" s="44">
        <f t="shared" si="5"/>
        <v>0.16135588299339476</v>
      </c>
      <c r="L62" s="68">
        <v>4009</v>
      </c>
    </row>
    <row r="63" spans="2:13" x14ac:dyDescent="0.3">
      <c r="B63" s="68"/>
      <c r="C63" s="73"/>
      <c r="D63" s="73"/>
      <c r="E63" s="68"/>
      <c r="F63" s="68"/>
      <c r="G63" s="61" t="s">
        <v>49</v>
      </c>
      <c r="H63" s="8">
        <v>0.5</v>
      </c>
      <c r="I63" s="8">
        <f t="shared" si="14"/>
        <v>0.55890251869057117</v>
      </c>
      <c r="J63" s="8">
        <v>77</v>
      </c>
      <c r="K63" s="44">
        <f t="shared" si="5"/>
        <v>0.11780503738114234</v>
      </c>
      <c r="L63" s="68"/>
    </row>
    <row r="64" spans="2:13" x14ac:dyDescent="0.3">
      <c r="B64" s="68"/>
      <c r="C64" s="73"/>
      <c r="D64" s="73"/>
      <c r="E64" s="68"/>
      <c r="F64" s="68"/>
      <c r="G64" s="61" t="s">
        <v>75</v>
      </c>
      <c r="H64" s="8">
        <v>0.5</v>
      </c>
      <c r="I64" s="8">
        <f t="shared" si="14"/>
        <v>0.58067794149669738</v>
      </c>
      <c r="J64" s="8">
        <v>80</v>
      </c>
      <c r="K64" s="44">
        <f t="shared" si="5"/>
        <v>0.16135588299339476</v>
      </c>
      <c r="L64" s="68"/>
    </row>
    <row r="65" spans="2:13" x14ac:dyDescent="0.3">
      <c r="B65" s="68"/>
      <c r="C65" s="73"/>
      <c r="D65" s="73"/>
      <c r="E65" s="68"/>
      <c r="F65" s="68"/>
      <c r="G65" s="61" t="s">
        <v>72</v>
      </c>
      <c r="H65" s="8">
        <v>0.2</v>
      </c>
      <c r="I65" s="8">
        <f t="shared" si="14"/>
        <v>0.21775422806126152</v>
      </c>
      <c r="J65" s="8">
        <v>30</v>
      </c>
      <c r="K65" s="44">
        <f t="shared" si="5"/>
        <v>8.8771140306307617E-2</v>
      </c>
      <c r="L65" s="68"/>
    </row>
    <row r="66" spans="2:13" ht="15" thickBot="1" x14ac:dyDescent="0.35">
      <c r="B66" s="68"/>
      <c r="C66" s="73"/>
      <c r="D66" s="73"/>
      <c r="E66" s="68"/>
      <c r="F66" s="68"/>
      <c r="G66" s="61" t="s">
        <v>51</v>
      </c>
      <c r="H66" s="8">
        <v>0.3</v>
      </c>
      <c r="I66" s="8">
        <f t="shared" si="14"/>
        <v>0.34840676489801842</v>
      </c>
      <c r="J66" s="8">
        <v>48</v>
      </c>
      <c r="K66" s="44">
        <f t="shared" si="5"/>
        <v>0.16135588299339476</v>
      </c>
      <c r="L66" s="68"/>
    </row>
    <row r="67" spans="2:13" x14ac:dyDescent="0.3">
      <c r="B67" s="68">
        <v>8465</v>
      </c>
      <c r="C67" s="73" t="s">
        <v>86</v>
      </c>
      <c r="D67" s="73" t="s">
        <v>85</v>
      </c>
      <c r="E67" s="68">
        <v>137.77000000000001</v>
      </c>
      <c r="F67" s="68">
        <v>137.77000000000001</v>
      </c>
      <c r="G67" s="61" t="s">
        <v>69</v>
      </c>
      <c r="H67" s="8">
        <v>0.25</v>
      </c>
      <c r="I67" s="8">
        <f t="shared" si="14"/>
        <v>0.25404659940480512</v>
      </c>
      <c r="J67" s="8">
        <v>35</v>
      </c>
      <c r="K67" s="44">
        <f t="shared" ref="K67:K84" si="15">I67/H67-1</f>
        <v>1.6186397619220472E-2</v>
      </c>
      <c r="L67" s="77">
        <v>4009</v>
      </c>
      <c r="M67" s="52" t="s">
        <v>87</v>
      </c>
    </row>
    <row r="68" spans="2:13" x14ac:dyDescent="0.3">
      <c r="B68" s="68"/>
      <c r="C68" s="73"/>
      <c r="D68" s="73"/>
      <c r="E68" s="68"/>
      <c r="F68" s="68"/>
      <c r="G68" s="61" t="s">
        <v>49</v>
      </c>
      <c r="H68" s="8">
        <v>0.5</v>
      </c>
      <c r="I68" s="8">
        <f t="shared" si="14"/>
        <v>0.5008347245409015</v>
      </c>
      <c r="J68" s="8">
        <v>69</v>
      </c>
      <c r="K68" s="44">
        <f t="shared" si="15"/>
        <v>1.6694490818029983E-3</v>
      </c>
      <c r="L68" s="77"/>
      <c r="M68" s="54">
        <v>45724</v>
      </c>
    </row>
    <row r="69" spans="2:13" x14ac:dyDescent="0.3">
      <c r="B69" s="68"/>
      <c r="C69" s="73"/>
      <c r="D69" s="73"/>
      <c r="E69" s="68"/>
      <c r="F69" s="68"/>
      <c r="G69" s="61" t="s">
        <v>75</v>
      </c>
      <c r="H69" s="8">
        <v>0.5</v>
      </c>
      <c r="I69" s="8">
        <f t="shared" si="14"/>
        <v>0.50809319880961024</v>
      </c>
      <c r="J69" s="8">
        <v>70</v>
      </c>
      <c r="K69" s="44">
        <f t="shared" si="15"/>
        <v>1.6186397619220472E-2</v>
      </c>
      <c r="L69" s="77"/>
      <c r="M69" s="53" t="s">
        <v>88</v>
      </c>
    </row>
    <row r="70" spans="2:13" x14ac:dyDescent="0.3">
      <c r="B70" s="68"/>
      <c r="C70" s="73"/>
      <c r="D70" s="73"/>
      <c r="E70" s="68"/>
      <c r="F70" s="68"/>
      <c r="G70" s="61" t="s">
        <v>74</v>
      </c>
      <c r="H70" s="8">
        <v>0.15</v>
      </c>
      <c r="I70" s="8">
        <f t="shared" si="14"/>
        <v>0.13718516367859473</v>
      </c>
      <c r="J70" s="8">
        <v>18.899999999999999</v>
      </c>
      <c r="K70" s="44">
        <f t="shared" si="15"/>
        <v>-8.5432242142701731E-2</v>
      </c>
      <c r="L70" s="77"/>
      <c r="M70" s="53"/>
    </row>
    <row r="71" spans="2:13" ht="15" thickBot="1" x14ac:dyDescent="0.35">
      <c r="B71" s="68"/>
      <c r="C71" s="73"/>
      <c r="D71" s="73"/>
      <c r="E71" s="68"/>
      <c r="F71" s="68"/>
      <c r="G71" s="61" t="s">
        <v>72</v>
      </c>
      <c r="H71" s="8">
        <v>0.2</v>
      </c>
      <c r="I71" s="8">
        <f t="shared" si="14"/>
        <v>0.20323727952384407</v>
      </c>
      <c r="J71" s="8">
        <v>28</v>
      </c>
      <c r="K71" s="44">
        <f t="shared" si="15"/>
        <v>1.618639761922025E-2</v>
      </c>
      <c r="L71" s="77"/>
      <c r="M71" s="55">
        <v>45728</v>
      </c>
    </row>
    <row r="72" spans="2:13" ht="15" thickBot="1" x14ac:dyDescent="0.35">
      <c r="B72" s="68"/>
      <c r="C72" s="73"/>
      <c r="D72" s="73"/>
      <c r="E72" s="68"/>
      <c r="F72" s="68"/>
      <c r="G72" s="61" t="s">
        <v>51</v>
      </c>
      <c r="H72" s="8">
        <v>0.3</v>
      </c>
      <c r="I72" s="8">
        <f t="shared" si="14"/>
        <v>0.30485591928576611</v>
      </c>
      <c r="J72" s="8">
        <v>42</v>
      </c>
      <c r="K72" s="44">
        <f t="shared" si="15"/>
        <v>1.6186397619220472E-2</v>
      </c>
      <c r="L72" s="68"/>
    </row>
    <row r="73" spans="2:13" x14ac:dyDescent="0.3">
      <c r="B73" s="68">
        <v>7645</v>
      </c>
      <c r="C73" s="73" t="s">
        <v>83</v>
      </c>
      <c r="D73" s="73" t="s">
        <v>84</v>
      </c>
      <c r="E73" s="68">
        <v>49</v>
      </c>
      <c r="F73" s="68">
        <v>49</v>
      </c>
      <c r="G73" s="61" t="s">
        <v>69</v>
      </c>
      <c r="H73" s="8">
        <v>0.25</v>
      </c>
      <c r="I73" s="8">
        <f>J73/$F$73</f>
        <v>0.26530612244897961</v>
      </c>
      <c r="J73" s="8">
        <v>13</v>
      </c>
      <c r="K73" s="44">
        <f t="shared" si="15"/>
        <v>6.1224489795918435E-2</v>
      </c>
      <c r="L73" s="68">
        <v>4002</v>
      </c>
      <c r="M73" s="52" t="s">
        <v>87</v>
      </c>
    </row>
    <row r="74" spans="2:13" x14ac:dyDescent="0.3">
      <c r="B74" s="68"/>
      <c r="C74" s="73"/>
      <c r="D74" s="73"/>
      <c r="E74" s="68"/>
      <c r="F74" s="68"/>
      <c r="G74" s="61" t="s">
        <v>49</v>
      </c>
      <c r="H74" s="8">
        <v>0.2</v>
      </c>
      <c r="I74" s="8">
        <f t="shared" ref="I74:I78" si="16">J74/$F$73</f>
        <v>0.20408163265306123</v>
      </c>
      <c r="J74" s="8">
        <v>10</v>
      </c>
      <c r="K74" s="44">
        <f t="shared" si="15"/>
        <v>2.0408163265306145E-2</v>
      </c>
      <c r="L74" s="68"/>
      <c r="M74" s="54">
        <v>45726</v>
      </c>
    </row>
    <row r="75" spans="2:13" x14ac:dyDescent="0.3">
      <c r="B75" s="68"/>
      <c r="C75" s="73"/>
      <c r="D75" s="73"/>
      <c r="E75" s="68"/>
      <c r="F75" s="68"/>
      <c r="G75" s="61" t="s">
        <v>75</v>
      </c>
      <c r="H75" s="8">
        <v>0.5</v>
      </c>
      <c r="I75" s="8">
        <f t="shared" si="16"/>
        <v>0.51020408163265307</v>
      </c>
      <c r="J75" s="8">
        <v>25</v>
      </c>
      <c r="K75" s="44">
        <f t="shared" si="15"/>
        <v>2.0408163265306145E-2</v>
      </c>
      <c r="L75" s="68"/>
      <c r="M75" s="53" t="s">
        <v>88</v>
      </c>
    </row>
    <row r="76" spans="2:13" ht="15" thickBot="1" x14ac:dyDescent="0.35">
      <c r="B76" s="68"/>
      <c r="C76" s="73"/>
      <c r="D76" s="73"/>
      <c r="E76" s="68"/>
      <c r="F76" s="68"/>
      <c r="G76" s="61" t="s">
        <v>72</v>
      </c>
      <c r="H76" s="8">
        <v>0.2</v>
      </c>
      <c r="I76" s="8">
        <f t="shared" si="16"/>
        <v>0.20408163265306123</v>
      </c>
      <c r="J76" s="8">
        <v>10</v>
      </c>
      <c r="K76" s="44">
        <f t="shared" si="15"/>
        <v>2.0408163265306145E-2</v>
      </c>
      <c r="L76" s="68"/>
      <c r="M76" s="55">
        <v>45729</v>
      </c>
    </row>
    <row r="77" spans="2:13" x14ac:dyDescent="0.3">
      <c r="B77" s="68"/>
      <c r="C77" s="73"/>
      <c r="D77" s="73"/>
      <c r="E77" s="68"/>
      <c r="F77" s="68"/>
      <c r="G77" s="61" t="s">
        <v>71</v>
      </c>
      <c r="H77" s="8">
        <v>10</v>
      </c>
      <c r="I77" s="8">
        <f t="shared" si="16"/>
        <v>9.2857142857142865</v>
      </c>
      <c r="J77" s="8">
        <v>455</v>
      </c>
      <c r="K77" s="44">
        <f t="shared" si="15"/>
        <v>-7.1428571428571397E-2</v>
      </c>
      <c r="L77" s="68"/>
    </row>
    <row r="78" spans="2:13" ht="15" thickBot="1" x14ac:dyDescent="0.35">
      <c r="B78" s="68"/>
      <c r="C78" s="73"/>
      <c r="D78" s="73"/>
      <c r="E78" s="68"/>
      <c r="F78" s="68"/>
      <c r="G78" s="61" t="s">
        <v>51</v>
      </c>
      <c r="H78" s="8">
        <v>0.3</v>
      </c>
      <c r="I78" s="8">
        <f t="shared" si="16"/>
        <v>0.30612244897959184</v>
      </c>
      <c r="J78" s="8">
        <v>15</v>
      </c>
      <c r="K78" s="44">
        <f t="shared" si="15"/>
        <v>2.0408163265306145E-2</v>
      </c>
      <c r="L78" s="68"/>
    </row>
    <row r="79" spans="2:13" x14ac:dyDescent="0.3">
      <c r="B79" s="68">
        <v>7645</v>
      </c>
      <c r="C79" s="73" t="s">
        <v>83</v>
      </c>
      <c r="D79" s="73" t="s">
        <v>84</v>
      </c>
      <c r="E79" s="69">
        <v>50.89</v>
      </c>
      <c r="F79" s="69">
        <v>50.89</v>
      </c>
      <c r="G79" s="61" t="s">
        <v>69</v>
      </c>
      <c r="H79" s="8">
        <v>0.25</v>
      </c>
      <c r="I79" s="8">
        <f>J79/$F$79</f>
        <v>0.23089015523678522</v>
      </c>
      <c r="J79" s="8">
        <v>11.75</v>
      </c>
      <c r="K79" s="44">
        <f t="shared" si="15"/>
        <v>-7.6439379052859135E-2</v>
      </c>
      <c r="L79" s="68">
        <v>4002</v>
      </c>
      <c r="M79" s="52" t="s">
        <v>87</v>
      </c>
    </row>
    <row r="80" spans="2:13" x14ac:dyDescent="0.3">
      <c r="B80" s="68"/>
      <c r="C80" s="73"/>
      <c r="D80" s="73"/>
      <c r="E80" s="70"/>
      <c r="F80" s="70"/>
      <c r="G80" s="61" t="s">
        <v>49</v>
      </c>
      <c r="H80" s="8">
        <v>0.5</v>
      </c>
      <c r="I80" s="8">
        <f t="shared" ref="I80:I84" si="17">J80/$F$79</f>
        <v>0.53055610139516607</v>
      </c>
      <c r="J80" s="8">
        <v>27</v>
      </c>
      <c r="K80" s="44">
        <f t="shared" si="15"/>
        <v>6.1112202790332137E-2</v>
      </c>
      <c r="L80" s="68"/>
      <c r="M80" s="54">
        <v>45699</v>
      </c>
    </row>
    <row r="81" spans="2:13" x14ac:dyDescent="0.3">
      <c r="B81" s="68"/>
      <c r="C81" s="73"/>
      <c r="D81" s="73"/>
      <c r="E81" s="70"/>
      <c r="F81" s="70"/>
      <c r="G81" s="61" t="s">
        <v>75</v>
      </c>
      <c r="H81" s="8">
        <v>0.5</v>
      </c>
      <c r="I81" s="8">
        <f t="shared" si="17"/>
        <v>0.49125564943996858</v>
      </c>
      <c r="J81" s="8">
        <v>25</v>
      </c>
      <c r="K81" s="44">
        <f t="shared" si="15"/>
        <v>-1.7488701120062844E-2</v>
      </c>
      <c r="L81" s="68"/>
      <c r="M81" s="53" t="s">
        <v>88</v>
      </c>
    </row>
    <row r="82" spans="2:13" ht="15" thickBot="1" x14ac:dyDescent="0.35">
      <c r="B82" s="68"/>
      <c r="C82" s="73"/>
      <c r="D82" s="73"/>
      <c r="E82" s="70"/>
      <c r="F82" s="70"/>
      <c r="G82" s="61" t="s">
        <v>72</v>
      </c>
      <c r="H82" s="8">
        <v>0.2</v>
      </c>
      <c r="I82" s="8">
        <f t="shared" si="17"/>
        <v>0.19650225977598743</v>
      </c>
      <c r="J82" s="8">
        <v>10</v>
      </c>
      <c r="K82" s="44">
        <f t="shared" si="15"/>
        <v>-1.7488701120062955E-2</v>
      </c>
      <c r="L82" s="68"/>
      <c r="M82" s="55">
        <v>45713</v>
      </c>
    </row>
    <row r="83" spans="2:13" x14ac:dyDescent="0.3">
      <c r="B83" s="68"/>
      <c r="C83" s="73"/>
      <c r="D83" s="73"/>
      <c r="E83" s="70"/>
      <c r="F83" s="70"/>
      <c r="G83" s="61" t="s">
        <v>71</v>
      </c>
      <c r="H83" s="8">
        <v>10</v>
      </c>
      <c r="I83" s="8">
        <f t="shared" si="17"/>
        <v>9.3731577913146005</v>
      </c>
      <c r="J83" s="8">
        <v>477</v>
      </c>
      <c r="K83" s="44">
        <f t="shared" si="15"/>
        <v>-6.2684220868539975E-2</v>
      </c>
      <c r="L83" s="68"/>
    </row>
    <row r="84" spans="2:13" ht="15" thickBot="1" x14ac:dyDescent="0.35">
      <c r="B84" s="68"/>
      <c r="C84" s="73"/>
      <c r="D84" s="73"/>
      <c r="E84" s="71"/>
      <c r="F84" s="71"/>
      <c r="G84" s="61" t="s">
        <v>51</v>
      </c>
      <c r="H84" s="8">
        <v>0.3</v>
      </c>
      <c r="I84" s="8">
        <f t="shared" si="17"/>
        <v>0.29475338966398112</v>
      </c>
      <c r="J84" s="8">
        <v>15</v>
      </c>
      <c r="K84" s="44">
        <f t="shared" si="15"/>
        <v>-1.7488701120062844E-2</v>
      </c>
      <c r="L84" s="68"/>
    </row>
    <row r="85" spans="2:13" x14ac:dyDescent="0.3">
      <c r="B85" s="68">
        <v>8769</v>
      </c>
      <c r="C85" s="73" t="s">
        <v>90</v>
      </c>
      <c r="D85" s="73" t="s">
        <v>78</v>
      </c>
      <c r="E85" s="68">
        <v>80.16</v>
      </c>
      <c r="F85" s="68">
        <v>80.16</v>
      </c>
      <c r="G85" s="61" t="s">
        <v>69</v>
      </c>
      <c r="H85" s="8">
        <v>0.25</v>
      </c>
      <c r="I85" s="8">
        <f>J85/$F$85</f>
        <v>0.25261976047904194</v>
      </c>
      <c r="J85" s="8">
        <v>20.25</v>
      </c>
      <c r="K85" s="44">
        <f t="shared" ref="K85:K90" si="18">I85/H85-1</f>
        <v>1.0479041916167775E-2</v>
      </c>
      <c r="L85" s="68">
        <v>4009</v>
      </c>
      <c r="M85" s="52" t="s">
        <v>87</v>
      </c>
    </row>
    <row r="86" spans="2:13" x14ac:dyDescent="0.3">
      <c r="B86" s="68"/>
      <c r="C86" s="73"/>
      <c r="D86" s="73"/>
      <c r="E86" s="68"/>
      <c r="F86" s="68"/>
      <c r="G86" s="61" t="s">
        <v>49</v>
      </c>
      <c r="H86" s="8">
        <v>0.5</v>
      </c>
      <c r="I86" s="8">
        <f t="shared" ref="I86:I90" si="19">J86/$F$85</f>
        <v>0.51147704590818366</v>
      </c>
      <c r="J86" s="8">
        <v>41</v>
      </c>
      <c r="K86" s="44">
        <f t="shared" si="18"/>
        <v>2.2954091816367317E-2</v>
      </c>
      <c r="L86" s="68"/>
      <c r="M86" s="54">
        <v>45729</v>
      </c>
    </row>
    <row r="87" spans="2:13" x14ac:dyDescent="0.3">
      <c r="B87" s="68"/>
      <c r="C87" s="73"/>
      <c r="D87" s="73"/>
      <c r="E87" s="68"/>
      <c r="F87" s="68"/>
      <c r="G87" s="61" t="s">
        <v>75</v>
      </c>
      <c r="H87" s="8">
        <v>0.5</v>
      </c>
      <c r="I87" s="8">
        <f t="shared" si="19"/>
        <v>0.49900199600798406</v>
      </c>
      <c r="J87" s="8">
        <v>40</v>
      </c>
      <c r="K87" s="44">
        <f t="shared" si="18"/>
        <v>-1.9960079840318778E-3</v>
      </c>
      <c r="L87" s="68"/>
      <c r="M87" s="53" t="s">
        <v>88</v>
      </c>
    </row>
    <row r="88" spans="2:13" ht="15" thickBot="1" x14ac:dyDescent="0.35">
      <c r="B88" s="68"/>
      <c r="C88" s="73"/>
      <c r="D88" s="73"/>
      <c r="E88" s="68"/>
      <c r="F88" s="68"/>
      <c r="G88" s="61" t="s">
        <v>72</v>
      </c>
      <c r="H88" s="8">
        <v>0.2</v>
      </c>
      <c r="I88" s="8">
        <f t="shared" si="19"/>
        <v>0.20833333333333334</v>
      </c>
      <c r="J88" s="8">
        <v>16.7</v>
      </c>
      <c r="K88" s="44">
        <f t="shared" si="18"/>
        <v>4.1666666666666741E-2</v>
      </c>
      <c r="L88" s="68"/>
      <c r="M88" s="55">
        <v>45732</v>
      </c>
    </row>
    <row r="89" spans="2:13" x14ac:dyDescent="0.3">
      <c r="B89" s="68"/>
      <c r="C89" s="73"/>
      <c r="D89" s="73"/>
      <c r="E89" s="68"/>
      <c r="F89" s="68"/>
      <c r="G89" s="61" t="s">
        <v>74</v>
      </c>
      <c r="H89" s="8">
        <v>0.15</v>
      </c>
      <c r="I89" s="8">
        <f t="shared" si="19"/>
        <v>0.16966067864271459</v>
      </c>
      <c r="J89" s="8">
        <v>13.6</v>
      </c>
      <c r="K89" s="44">
        <f t="shared" si="18"/>
        <v>0.13107119095143061</v>
      </c>
      <c r="L89" s="68"/>
      <c r="M89" s="43" t="s">
        <v>89</v>
      </c>
    </row>
    <row r="90" spans="2:13" ht="15" thickBot="1" x14ac:dyDescent="0.35">
      <c r="B90" s="68"/>
      <c r="C90" s="73"/>
      <c r="D90" s="73"/>
      <c r="E90" s="68"/>
      <c r="F90" s="68"/>
      <c r="G90" s="61" t="s">
        <v>51</v>
      </c>
      <c r="H90" s="8">
        <v>0.3</v>
      </c>
      <c r="I90" s="8">
        <f t="shared" si="19"/>
        <v>0.31561876247504994</v>
      </c>
      <c r="J90" s="8">
        <v>25.3</v>
      </c>
      <c r="K90" s="44">
        <f t="shared" si="18"/>
        <v>5.2062541583499877E-2</v>
      </c>
      <c r="L90" s="68"/>
    </row>
    <row r="91" spans="2:13" x14ac:dyDescent="0.3">
      <c r="B91" s="68"/>
      <c r="C91" s="73" t="s">
        <v>43</v>
      </c>
      <c r="D91" s="73" t="s">
        <v>78</v>
      </c>
      <c r="E91" s="68">
        <v>116.63</v>
      </c>
      <c r="F91" s="68">
        <v>116.63</v>
      </c>
      <c r="G91" s="61" t="s">
        <v>69</v>
      </c>
      <c r="H91" s="8">
        <v>0.25</v>
      </c>
      <c r="I91" s="8">
        <f>J91/$F$91</f>
        <v>0.25722369887678986</v>
      </c>
      <c r="J91" s="8">
        <v>30</v>
      </c>
      <c r="K91" s="44">
        <f t="shared" ref="K91:K96" si="20">I91/H91-1</f>
        <v>2.8894795507159454E-2</v>
      </c>
      <c r="L91" s="68">
        <v>4002</v>
      </c>
      <c r="M91" s="52" t="s">
        <v>87</v>
      </c>
    </row>
    <row r="92" spans="2:13" x14ac:dyDescent="0.3">
      <c r="B92" s="68"/>
      <c r="C92" s="73"/>
      <c r="D92" s="73"/>
      <c r="E92" s="68"/>
      <c r="F92" s="68"/>
      <c r="G92" s="61" t="s">
        <v>73</v>
      </c>
      <c r="H92" s="8">
        <v>0.11</v>
      </c>
      <c r="I92" s="8">
        <f t="shared" ref="I92:I96" si="21">J92/$F$91</f>
        <v>0.10974877818743034</v>
      </c>
      <c r="J92" s="8">
        <v>12.8</v>
      </c>
      <c r="K92" s="44">
        <f t="shared" si="20"/>
        <v>-2.2838346597241488E-3</v>
      </c>
      <c r="L92" s="68"/>
      <c r="M92" s="54">
        <v>45730</v>
      </c>
    </row>
    <row r="93" spans="2:13" x14ac:dyDescent="0.3">
      <c r="B93" s="68"/>
      <c r="C93" s="73"/>
      <c r="D93" s="73"/>
      <c r="E93" s="68"/>
      <c r="F93" s="68"/>
      <c r="G93" s="61" t="s">
        <v>75</v>
      </c>
      <c r="H93" s="8">
        <v>0.5</v>
      </c>
      <c r="I93" s="8">
        <f t="shared" si="21"/>
        <v>0.50158621280974025</v>
      </c>
      <c r="J93" s="8">
        <v>58.5</v>
      </c>
      <c r="K93" s="44">
        <f t="shared" si="20"/>
        <v>3.1724256194805012E-3</v>
      </c>
      <c r="L93" s="68"/>
      <c r="M93" s="53" t="s">
        <v>88</v>
      </c>
    </row>
    <row r="94" spans="2:13" ht="15" thickBot="1" x14ac:dyDescent="0.35">
      <c r="B94" s="68"/>
      <c r="C94" s="73"/>
      <c r="D94" s="73"/>
      <c r="E94" s="68"/>
      <c r="F94" s="68"/>
      <c r="G94" s="61" t="s">
        <v>72</v>
      </c>
      <c r="H94" s="8">
        <v>0.2</v>
      </c>
      <c r="I94" s="8">
        <f t="shared" si="21"/>
        <v>0.20149189745348539</v>
      </c>
      <c r="J94" s="8">
        <v>23.5</v>
      </c>
      <c r="K94" s="44">
        <f t="shared" si="20"/>
        <v>7.4594872674269563E-3</v>
      </c>
      <c r="L94" s="68"/>
      <c r="M94" s="55">
        <v>45737</v>
      </c>
    </row>
    <row r="95" spans="2:13" x14ac:dyDescent="0.3">
      <c r="B95" s="68"/>
      <c r="C95" s="73"/>
      <c r="D95" s="73"/>
      <c r="E95" s="68"/>
      <c r="F95" s="68"/>
      <c r="G95" s="61" t="s">
        <v>51</v>
      </c>
      <c r="H95" s="8">
        <v>0.3</v>
      </c>
      <c r="I95" s="8">
        <f t="shared" si="21"/>
        <v>0.30009431535625486</v>
      </c>
      <c r="J95" s="8">
        <v>35</v>
      </c>
      <c r="K95" s="44">
        <f t="shared" si="20"/>
        <v>3.1438452084953106E-4</v>
      </c>
      <c r="L95" s="68"/>
    </row>
    <row r="96" spans="2:13" ht="15" thickBot="1" x14ac:dyDescent="0.35">
      <c r="B96" s="68"/>
      <c r="C96" s="73"/>
      <c r="D96" s="73"/>
      <c r="E96" s="68"/>
      <c r="F96" s="68"/>
      <c r="G96" s="61" t="s">
        <v>71</v>
      </c>
      <c r="H96" s="8">
        <v>10</v>
      </c>
      <c r="I96" s="8">
        <f t="shared" si="21"/>
        <v>9.181599931407014</v>
      </c>
      <c r="J96" s="8">
        <v>1070.8499999999999</v>
      </c>
      <c r="K96" s="44">
        <f t="shared" si="20"/>
        <v>-8.1840006859298597E-2</v>
      </c>
      <c r="L96" s="68"/>
    </row>
    <row r="97" spans="2:13" x14ac:dyDescent="0.3">
      <c r="B97" s="68">
        <v>8836</v>
      </c>
      <c r="C97" s="73" t="s">
        <v>79</v>
      </c>
      <c r="D97" s="73" t="s">
        <v>80</v>
      </c>
      <c r="E97" s="68">
        <v>214</v>
      </c>
      <c r="F97" s="68">
        <v>214</v>
      </c>
      <c r="G97" s="61" t="s">
        <v>69</v>
      </c>
      <c r="H97" s="8">
        <v>0.25</v>
      </c>
      <c r="I97" s="8">
        <f>J97/$F$97</f>
        <v>0.2570093457943925</v>
      </c>
      <c r="J97" s="8">
        <v>55</v>
      </c>
      <c r="K97" s="44">
        <f t="shared" ref="K97:K108" si="22">I97/H97-1</f>
        <v>2.8037383177569986E-2</v>
      </c>
      <c r="L97" s="68">
        <v>4009</v>
      </c>
      <c r="M97" s="52" t="s">
        <v>87</v>
      </c>
    </row>
    <row r="98" spans="2:13" x14ac:dyDescent="0.3">
      <c r="B98" s="68"/>
      <c r="C98" s="73"/>
      <c r="D98" s="73"/>
      <c r="E98" s="68"/>
      <c r="F98" s="68"/>
      <c r="G98" s="61" t="s">
        <v>49</v>
      </c>
      <c r="H98" s="8">
        <v>0.5</v>
      </c>
      <c r="I98" s="8">
        <f t="shared" ref="I98:I102" si="23">J98/$F$97</f>
        <v>0.48345794392523361</v>
      </c>
      <c r="J98" s="8">
        <v>103.46</v>
      </c>
      <c r="K98" s="44">
        <f t="shared" si="22"/>
        <v>-3.3084112149532774E-2</v>
      </c>
      <c r="L98" s="68"/>
      <c r="M98" s="54">
        <v>45732</v>
      </c>
    </row>
    <row r="99" spans="2:13" x14ac:dyDescent="0.3">
      <c r="B99" s="68"/>
      <c r="C99" s="73"/>
      <c r="D99" s="73"/>
      <c r="E99" s="68"/>
      <c r="F99" s="68"/>
      <c r="G99" s="61" t="s">
        <v>75</v>
      </c>
      <c r="H99" s="8">
        <v>0.5</v>
      </c>
      <c r="I99" s="8">
        <f t="shared" si="23"/>
        <v>0.48364485981308414</v>
      </c>
      <c r="J99" s="8">
        <v>103.5</v>
      </c>
      <c r="K99" s="44">
        <f t="shared" si="22"/>
        <v>-3.2710280373831724E-2</v>
      </c>
      <c r="L99" s="68"/>
      <c r="M99" s="53" t="s">
        <v>88</v>
      </c>
    </row>
    <row r="100" spans="2:13" ht="15" thickBot="1" x14ac:dyDescent="0.35">
      <c r="B100" s="68"/>
      <c r="C100" s="73"/>
      <c r="D100" s="73"/>
      <c r="E100" s="68"/>
      <c r="F100" s="68"/>
      <c r="G100" s="61" t="s">
        <v>72</v>
      </c>
      <c r="H100" s="8">
        <v>0.2</v>
      </c>
      <c r="I100" s="8">
        <f t="shared" si="23"/>
        <v>0.20607476635514019</v>
      </c>
      <c r="J100" s="8">
        <v>44.1</v>
      </c>
      <c r="K100" s="44">
        <f t="shared" si="22"/>
        <v>3.0373831775700966E-2</v>
      </c>
      <c r="L100" s="68"/>
      <c r="M100" s="55">
        <v>45746</v>
      </c>
    </row>
    <row r="101" spans="2:13" x14ac:dyDescent="0.3">
      <c r="B101" s="68"/>
      <c r="C101" s="73"/>
      <c r="D101" s="73"/>
      <c r="E101" s="68"/>
      <c r="F101" s="68"/>
      <c r="G101" s="61" t="s">
        <v>74</v>
      </c>
      <c r="H101" s="8">
        <v>0.15</v>
      </c>
      <c r="I101" s="8">
        <f t="shared" si="23"/>
        <v>0.14581308411214955</v>
      </c>
      <c r="J101" s="8">
        <v>31.204000000000001</v>
      </c>
      <c r="K101" s="44">
        <f t="shared" si="22"/>
        <v>-2.7912772585669599E-2</v>
      </c>
      <c r="L101" s="68"/>
    </row>
    <row r="102" spans="2:13" ht="15" thickBot="1" x14ac:dyDescent="0.35">
      <c r="B102" s="68"/>
      <c r="C102" s="73"/>
      <c r="D102" s="73"/>
      <c r="E102" s="68"/>
      <c r="F102" s="68"/>
      <c r="G102" s="61" t="s">
        <v>51</v>
      </c>
      <c r="H102" s="8">
        <v>0.3</v>
      </c>
      <c r="I102" s="8">
        <f t="shared" si="23"/>
        <v>0.30373831775700932</v>
      </c>
      <c r="J102" s="8">
        <v>65</v>
      </c>
      <c r="K102" s="44">
        <f t="shared" si="22"/>
        <v>1.2461059190031154E-2</v>
      </c>
      <c r="L102" s="68"/>
    </row>
    <row r="103" spans="2:13" x14ac:dyDescent="0.3">
      <c r="B103" s="68">
        <v>8344</v>
      </c>
      <c r="C103" s="73" t="s">
        <v>92</v>
      </c>
      <c r="D103" s="73" t="s">
        <v>93</v>
      </c>
      <c r="E103" s="68">
        <v>175.71</v>
      </c>
      <c r="F103" s="68">
        <v>175.71</v>
      </c>
      <c r="G103" s="61" t="s">
        <v>69</v>
      </c>
      <c r="H103" s="8">
        <v>0.25</v>
      </c>
      <c r="I103" s="8">
        <f>J103/$F$103</f>
        <v>0.25610380740993682</v>
      </c>
      <c r="J103" s="8">
        <v>45</v>
      </c>
      <c r="K103" s="44">
        <f t="shared" si="22"/>
        <v>2.4415229639747293E-2</v>
      </c>
      <c r="L103" s="68">
        <v>4001</v>
      </c>
      <c r="M103" s="52" t="s">
        <v>87</v>
      </c>
    </row>
    <row r="104" spans="2:13" x14ac:dyDescent="0.3">
      <c r="B104" s="68"/>
      <c r="C104" s="73"/>
      <c r="D104" s="73"/>
      <c r="E104" s="68"/>
      <c r="F104" s="68"/>
      <c r="G104" s="61" t="s">
        <v>49</v>
      </c>
      <c r="H104" s="8">
        <v>0.5</v>
      </c>
      <c r="I104" s="8">
        <f t="shared" ref="I104:I108" si="24">J104/$F$103</f>
        <v>0.50082522337943203</v>
      </c>
      <c r="J104" s="8">
        <v>88</v>
      </c>
      <c r="K104" s="44">
        <f t="shared" si="22"/>
        <v>1.6504467588640548E-3</v>
      </c>
      <c r="L104" s="68"/>
      <c r="M104" s="54">
        <v>45722</v>
      </c>
    </row>
    <row r="105" spans="2:13" x14ac:dyDescent="0.3">
      <c r="B105" s="68"/>
      <c r="C105" s="73"/>
      <c r="D105" s="73"/>
      <c r="E105" s="68"/>
      <c r="F105" s="68"/>
      <c r="G105" s="61" t="s">
        <v>74</v>
      </c>
      <c r="H105" s="8">
        <v>0.15</v>
      </c>
      <c r="I105" s="8">
        <f t="shared" si="24"/>
        <v>0.14227989300552046</v>
      </c>
      <c r="J105" s="8">
        <v>25</v>
      </c>
      <c r="K105" s="44">
        <f t="shared" si="22"/>
        <v>-5.1467379963196835E-2</v>
      </c>
      <c r="L105" s="68"/>
      <c r="M105" s="53" t="s">
        <v>88</v>
      </c>
    </row>
    <row r="106" spans="2:13" ht="15" thickBot="1" x14ac:dyDescent="0.35">
      <c r="B106" s="68"/>
      <c r="C106" s="73"/>
      <c r="D106" s="73"/>
      <c r="E106" s="68"/>
      <c r="F106" s="68"/>
      <c r="G106" s="61" t="s">
        <v>75</v>
      </c>
      <c r="H106" s="8">
        <v>0.5</v>
      </c>
      <c r="I106" s="8">
        <f t="shared" si="24"/>
        <v>0.50082522337943203</v>
      </c>
      <c r="J106" s="8">
        <v>88</v>
      </c>
      <c r="K106" s="44">
        <f t="shared" si="22"/>
        <v>1.6504467588640548E-3</v>
      </c>
      <c r="L106" s="68"/>
      <c r="M106" s="55">
        <v>45743</v>
      </c>
    </row>
    <row r="107" spans="2:13" x14ac:dyDescent="0.3">
      <c r="B107" s="68"/>
      <c r="C107" s="73"/>
      <c r="D107" s="73"/>
      <c r="E107" s="68"/>
      <c r="F107" s="68"/>
      <c r="G107" s="61" t="s">
        <v>72</v>
      </c>
      <c r="H107" s="8">
        <v>0.2</v>
      </c>
      <c r="I107" s="8">
        <f t="shared" si="24"/>
        <v>0.20488304592794945</v>
      </c>
      <c r="J107" s="8">
        <v>36</v>
      </c>
      <c r="K107" s="44">
        <f t="shared" si="22"/>
        <v>2.4415229639747293E-2</v>
      </c>
      <c r="L107" s="68"/>
    </row>
    <row r="108" spans="2:13" ht="15" thickBot="1" x14ac:dyDescent="0.35">
      <c r="B108" s="68"/>
      <c r="C108" s="73"/>
      <c r="D108" s="73"/>
      <c r="E108" s="68"/>
      <c r="F108" s="68"/>
      <c r="G108" s="61" t="s">
        <v>51</v>
      </c>
      <c r="H108" s="8">
        <v>0.3</v>
      </c>
      <c r="I108" s="8">
        <f t="shared" si="24"/>
        <v>0.30732456889192417</v>
      </c>
      <c r="J108" s="8">
        <v>54</v>
      </c>
      <c r="K108" s="44">
        <f t="shared" si="22"/>
        <v>2.4415229639747293E-2</v>
      </c>
      <c r="L108" s="68"/>
    </row>
    <row r="109" spans="2:13" x14ac:dyDescent="0.3">
      <c r="B109" s="68">
        <v>8061</v>
      </c>
      <c r="C109" s="73" t="s">
        <v>100</v>
      </c>
      <c r="D109" s="73" t="s">
        <v>101</v>
      </c>
      <c r="E109" s="68">
        <v>16.600000000000001</v>
      </c>
      <c r="F109" s="68">
        <v>16.600000000000001</v>
      </c>
      <c r="G109" s="61" t="s">
        <v>102</v>
      </c>
      <c r="H109" s="8">
        <v>0.25</v>
      </c>
      <c r="I109" s="8">
        <f>J109/$F$109</f>
        <v>0.2590361445783132</v>
      </c>
      <c r="J109" s="8">
        <v>4.3</v>
      </c>
      <c r="K109" s="44">
        <f t="shared" ref="K109:K126" si="25">I109/H109-1</f>
        <v>3.6144578313252795E-2</v>
      </c>
      <c r="L109" s="68">
        <v>4001</v>
      </c>
      <c r="M109" s="52" t="s">
        <v>87</v>
      </c>
    </row>
    <row r="110" spans="2:13" x14ac:dyDescent="0.3">
      <c r="B110" s="68"/>
      <c r="C110" s="73"/>
      <c r="D110" s="73"/>
      <c r="E110" s="68"/>
      <c r="F110" s="68"/>
      <c r="G110" s="61" t="s">
        <v>49</v>
      </c>
      <c r="H110" s="8">
        <v>0.5</v>
      </c>
      <c r="I110" s="8">
        <f t="shared" ref="I110:I114" si="26">J110/$F$109</f>
        <v>0.52409638554216864</v>
      </c>
      <c r="J110" s="8">
        <v>8.6999999999999993</v>
      </c>
      <c r="K110" s="44">
        <f t="shared" si="25"/>
        <v>4.8192771084337283E-2</v>
      </c>
      <c r="L110" s="68"/>
      <c r="M110" s="54">
        <v>45743</v>
      </c>
    </row>
    <row r="111" spans="2:13" x14ac:dyDescent="0.3">
      <c r="B111" s="68"/>
      <c r="C111" s="73"/>
      <c r="D111" s="73"/>
      <c r="E111" s="68"/>
      <c r="F111" s="68"/>
      <c r="G111" s="61" t="s">
        <v>74</v>
      </c>
      <c r="H111" s="8">
        <v>0.15</v>
      </c>
      <c r="I111" s="8">
        <f t="shared" si="26"/>
        <v>0.1506024096385542</v>
      </c>
      <c r="J111" s="8">
        <v>2.5</v>
      </c>
      <c r="K111" s="44">
        <f t="shared" si="25"/>
        <v>4.0160642570281624E-3</v>
      </c>
      <c r="L111" s="68"/>
      <c r="M111" s="53" t="s">
        <v>88</v>
      </c>
    </row>
    <row r="112" spans="2:13" ht="15" thickBot="1" x14ac:dyDescent="0.35">
      <c r="B112" s="68"/>
      <c r="C112" s="73"/>
      <c r="D112" s="73"/>
      <c r="E112" s="68"/>
      <c r="F112" s="68"/>
      <c r="G112" s="61" t="s">
        <v>75</v>
      </c>
      <c r="H112" s="8">
        <v>0.5</v>
      </c>
      <c r="I112" s="8">
        <f t="shared" si="26"/>
        <v>0.54216867469879515</v>
      </c>
      <c r="J112" s="8">
        <v>9</v>
      </c>
      <c r="K112" s="44">
        <f t="shared" si="25"/>
        <v>8.43373493975903E-2</v>
      </c>
      <c r="L112" s="68"/>
      <c r="M112" s="55">
        <v>45744</v>
      </c>
    </row>
    <row r="113" spans="2:13" x14ac:dyDescent="0.3">
      <c r="B113" s="68"/>
      <c r="C113" s="73"/>
      <c r="D113" s="73"/>
      <c r="E113" s="68"/>
      <c r="F113" s="68"/>
      <c r="G113" s="61" t="s">
        <v>72</v>
      </c>
      <c r="H113" s="8">
        <v>0.2</v>
      </c>
      <c r="I113" s="8">
        <f t="shared" si="26"/>
        <v>0.21084337349397589</v>
      </c>
      <c r="J113" s="8">
        <v>3.5</v>
      </c>
      <c r="K113" s="44">
        <f t="shared" si="25"/>
        <v>5.4216867469879304E-2</v>
      </c>
      <c r="L113" s="68"/>
    </row>
    <row r="114" spans="2:13" ht="15" thickBot="1" x14ac:dyDescent="0.35">
      <c r="B114" s="68"/>
      <c r="C114" s="73"/>
      <c r="D114" s="73"/>
      <c r="E114" s="68"/>
      <c r="F114" s="68"/>
      <c r="G114" s="61" t="s">
        <v>51</v>
      </c>
      <c r="H114" s="8">
        <v>0.3</v>
      </c>
      <c r="I114" s="8">
        <f t="shared" si="26"/>
        <v>0.3012048192771084</v>
      </c>
      <c r="J114" s="8">
        <v>5</v>
      </c>
      <c r="K114" s="44">
        <f t="shared" si="25"/>
        <v>4.0160642570281624E-3</v>
      </c>
      <c r="L114" s="68"/>
    </row>
    <row r="115" spans="2:13" x14ac:dyDescent="0.3">
      <c r="B115" s="68">
        <v>8965</v>
      </c>
      <c r="C115" s="73" t="s">
        <v>103</v>
      </c>
      <c r="D115" s="73" t="s">
        <v>104</v>
      </c>
      <c r="E115" s="68">
        <v>9.0399999999999991</v>
      </c>
      <c r="F115" s="68">
        <v>9.0399999999999991</v>
      </c>
      <c r="G115" s="61" t="s">
        <v>102</v>
      </c>
      <c r="H115" s="8">
        <v>0.25</v>
      </c>
      <c r="I115" s="8">
        <f>J115/$F$115</f>
        <v>0.25442477876106195</v>
      </c>
      <c r="J115" s="8">
        <v>2.2999999999999998</v>
      </c>
      <c r="K115" s="44">
        <f t="shared" si="25"/>
        <v>1.7699115044247815E-2</v>
      </c>
      <c r="L115" s="68">
        <v>4001</v>
      </c>
      <c r="M115" s="52" t="s">
        <v>87</v>
      </c>
    </row>
    <row r="116" spans="2:13" x14ac:dyDescent="0.3">
      <c r="B116" s="68"/>
      <c r="C116" s="73"/>
      <c r="D116" s="73"/>
      <c r="E116" s="68"/>
      <c r="F116" s="68"/>
      <c r="G116" s="61" t="s">
        <v>49</v>
      </c>
      <c r="H116" s="8">
        <v>0.5</v>
      </c>
      <c r="I116" s="8">
        <f t="shared" ref="I116:I120" si="27">J116/$F$115</f>
        <v>0.50884955752212391</v>
      </c>
      <c r="J116" s="8">
        <v>4.5999999999999996</v>
      </c>
      <c r="K116" s="44">
        <f t="shared" si="25"/>
        <v>1.7699115044247815E-2</v>
      </c>
      <c r="L116" s="68"/>
      <c r="M116" s="54">
        <v>45745</v>
      </c>
    </row>
    <row r="117" spans="2:13" x14ac:dyDescent="0.3">
      <c r="B117" s="68"/>
      <c r="C117" s="73"/>
      <c r="D117" s="73"/>
      <c r="E117" s="68"/>
      <c r="F117" s="68"/>
      <c r="G117" s="61" t="s">
        <v>74</v>
      </c>
      <c r="H117" s="8">
        <v>0.15</v>
      </c>
      <c r="I117" s="8">
        <f t="shared" si="27"/>
        <v>0.1438053097345133</v>
      </c>
      <c r="J117" s="8">
        <v>1.3</v>
      </c>
      <c r="K117" s="44">
        <f t="shared" si="25"/>
        <v>-4.1297935103244643E-2</v>
      </c>
      <c r="L117" s="68"/>
      <c r="M117" s="53" t="s">
        <v>88</v>
      </c>
    </row>
    <row r="118" spans="2:13" ht="15" thickBot="1" x14ac:dyDescent="0.35">
      <c r="B118" s="68"/>
      <c r="C118" s="73"/>
      <c r="D118" s="73"/>
      <c r="E118" s="68"/>
      <c r="F118" s="68"/>
      <c r="G118" s="61" t="s">
        <v>75</v>
      </c>
      <c r="H118" s="8">
        <v>0.5</v>
      </c>
      <c r="I118" s="8">
        <f t="shared" si="27"/>
        <v>0.50331858407079644</v>
      </c>
      <c r="J118" s="8">
        <v>4.55</v>
      </c>
      <c r="K118" s="44">
        <f t="shared" si="25"/>
        <v>6.6371681415928752E-3</v>
      </c>
      <c r="L118" s="68"/>
      <c r="M118" s="55">
        <v>45745</v>
      </c>
    </row>
    <row r="119" spans="2:13" x14ac:dyDescent="0.3">
      <c r="B119" s="68"/>
      <c r="C119" s="73"/>
      <c r="D119" s="73"/>
      <c r="E119" s="68"/>
      <c r="F119" s="68"/>
      <c r="G119" s="61" t="s">
        <v>72</v>
      </c>
      <c r="H119" s="8">
        <v>0.2</v>
      </c>
      <c r="I119" s="8">
        <f t="shared" si="27"/>
        <v>0.2101769911504425</v>
      </c>
      <c r="J119" s="8">
        <v>1.9</v>
      </c>
      <c r="K119" s="44">
        <f t="shared" si="25"/>
        <v>5.0884955752212413E-2</v>
      </c>
      <c r="L119" s="68"/>
    </row>
    <row r="120" spans="2:13" ht="15" thickBot="1" x14ac:dyDescent="0.35">
      <c r="B120" s="68"/>
      <c r="C120" s="73"/>
      <c r="D120" s="73"/>
      <c r="E120" s="68"/>
      <c r="F120" s="68"/>
      <c r="G120" s="61" t="s">
        <v>51</v>
      </c>
      <c r="H120" s="8">
        <v>0.3</v>
      </c>
      <c r="I120" s="8">
        <f t="shared" si="27"/>
        <v>0.29867256637168144</v>
      </c>
      <c r="J120" s="8">
        <v>2.7</v>
      </c>
      <c r="K120" s="44">
        <f t="shared" si="25"/>
        <v>-4.4247787610618428E-3</v>
      </c>
      <c r="L120" s="68"/>
    </row>
    <row r="121" spans="2:13" x14ac:dyDescent="0.3">
      <c r="B121" s="68">
        <v>8955</v>
      </c>
      <c r="C121" s="73" t="s">
        <v>105</v>
      </c>
      <c r="D121" s="73" t="s">
        <v>106</v>
      </c>
      <c r="E121" s="68">
        <v>66.06</v>
      </c>
      <c r="F121" s="68">
        <v>66.06</v>
      </c>
      <c r="G121" s="61" t="s">
        <v>102</v>
      </c>
      <c r="H121" s="8">
        <v>0.25</v>
      </c>
      <c r="I121" s="8">
        <f>J121/$F$121</f>
        <v>0.25734181047532545</v>
      </c>
      <c r="J121" s="8">
        <v>17</v>
      </c>
      <c r="K121" s="44">
        <f t="shared" si="25"/>
        <v>2.9367241901301799E-2</v>
      </c>
      <c r="L121" s="68">
        <v>4002</v>
      </c>
      <c r="M121" s="52" t="s">
        <v>87</v>
      </c>
    </row>
    <row r="122" spans="2:13" x14ac:dyDescent="0.3">
      <c r="B122" s="68"/>
      <c r="C122" s="73"/>
      <c r="D122" s="73"/>
      <c r="E122" s="68"/>
      <c r="F122" s="68"/>
      <c r="G122" s="61" t="s">
        <v>73</v>
      </c>
      <c r="H122" s="8">
        <v>0.11</v>
      </c>
      <c r="I122" s="8">
        <f t="shared" ref="I122:I126" si="28">J122/$F$121</f>
        <v>0.11353315168029064</v>
      </c>
      <c r="J122" s="8">
        <v>7.5</v>
      </c>
      <c r="K122" s="44">
        <f t="shared" si="25"/>
        <v>3.2119560729914953E-2</v>
      </c>
      <c r="L122" s="68"/>
      <c r="M122" s="54">
        <v>45737</v>
      </c>
    </row>
    <row r="123" spans="2:13" x14ac:dyDescent="0.3">
      <c r="B123" s="68"/>
      <c r="C123" s="73"/>
      <c r="D123" s="73"/>
      <c r="E123" s="68"/>
      <c r="F123" s="68"/>
      <c r="G123" s="61" t="s">
        <v>75</v>
      </c>
      <c r="H123" s="8">
        <v>0.5</v>
      </c>
      <c r="I123" s="8">
        <f t="shared" si="28"/>
        <v>0.52982137450802302</v>
      </c>
      <c r="J123" s="8">
        <v>35</v>
      </c>
      <c r="K123" s="44">
        <f t="shared" si="25"/>
        <v>5.9642749016046048E-2</v>
      </c>
      <c r="L123" s="68"/>
      <c r="M123" s="53" t="s">
        <v>88</v>
      </c>
    </row>
    <row r="124" spans="2:13" ht="15" thickBot="1" x14ac:dyDescent="0.35">
      <c r="B124" s="68"/>
      <c r="C124" s="73"/>
      <c r="D124" s="73"/>
      <c r="E124" s="68"/>
      <c r="F124" s="68"/>
      <c r="G124" s="61" t="s">
        <v>72</v>
      </c>
      <c r="H124" s="8">
        <v>0.2</v>
      </c>
      <c r="I124" s="8">
        <f t="shared" si="28"/>
        <v>0.21192854980320919</v>
      </c>
      <c r="J124" s="8">
        <v>14</v>
      </c>
      <c r="K124" s="44">
        <f t="shared" si="25"/>
        <v>5.9642749016045826E-2</v>
      </c>
      <c r="L124" s="68"/>
      <c r="M124" s="55">
        <v>45744</v>
      </c>
    </row>
    <row r="125" spans="2:13" x14ac:dyDescent="0.3">
      <c r="B125" s="68"/>
      <c r="C125" s="73"/>
      <c r="D125" s="73"/>
      <c r="E125" s="68"/>
      <c r="F125" s="68"/>
      <c r="G125" s="61" t="s">
        <v>51</v>
      </c>
      <c r="H125" s="8">
        <v>0.3</v>
      </c>
      <c r="I125" s="8">
        <f t="shared" si="28"/>
        <v>0.30275507114744171</v>
      </c>
      <c r="J125" s="8">
        <v>20</v>
      </c>
      <c r="K125" s="44">
        <f t="shared" si="25"/>
        <v>9.1835704914724481E-3</v>
      </c>
      <c r="L125" s="68"/>
    </row>
    <row r="126" spans="2:13" ht="15" thickBot="1" x14ac:dyDescent="0.35">
      <c r="B126" s="68"/>
      <c r="C126" s="73"/>
      <c r="D126" s="73"/>
      <c r="E126" s="68"/>
      <c r="F126" s="68"/>
      <c r="G126" s="61" t="s">
        <v>71</v>
      </c>
      <c r="H126" s="8">
        <v>10</v>
      </c>
      <c r="I126" s="8">
        <f t="shared" si="28"/>
        <v>10.051468362095065</v>
      </c>
      <c r="J126" s="8">
        <v>664</v>
      </c>
      <c r="K126" s="44">
        <f t="shared" si="25"/>
        <v>5.1468362095064002E-3</v>
      </c>
      <c r="L126" s="68"/>
    </row>
    <row r="127" spans="2:13" x14ac:dyDescent="0.3">
      <c r="B127" s="68">
        <v>9239</v>
      </c>
      <c r="C127" s="73" t="s">
        <v>108</v>
      </c>
      <c r="D127" s="73" t="s">
        <v>109</v>
      </c>
      <c r="E127" s="68">
        <v>27.03</v>
      </c>
      <c r="F127" s="68">
        <v>27.03</v>
      </c>
      <c r="G127" s="61" t="s">
        <v>102</v>
      </c>
      <c r="H127" s="8">
        <v>0.25</v>
      </c>
      <c r="I127" s="8">
        <f>J127/$F$127</f>
        <v>0.25897151313355532</v>
      </c>
      <c r="J127" s="8">
        <v>7</v>
      </c>
      <c r="K127" s="44">
        <f t="shared" ref="K127:K146" si="29">I127/H127-1</f>
        <v>3.588605253422128E-2</v>
      </c>
      <c r="L127" s="68">
        <v>4001</v>
      </c>
      <c r="M127" s="52" t="s">
        <v>87</v>
      </c>
    </row>
    <row r="128" spans="2:13" x14ac:dyDescent="0.3">
      <c r="B128" s="68"/>
      <c r="C128" s="73"/>
      <c r="D128" s="73"/>
      <c r="E128" s="68"/>
      <c r="F128" s="68"/>
      <c r="G128" s="61" t="s">
        <v>49</v>
      </c>
      <c r="H128" s="8">
        <v>0.5</v>
      </c>
      <c r="I128" s="8">
        <f t="shared" ref="I128:I132" si="30">J128/$F$127</f>
        <v>0.51794302626711064</v>
      </c>
      <c r="J128" s="8">
        <v>14</v>
      </c>
      <c r="K128" s="44">
        <f t="shared" si="29"/>
        <v>3.588605253422128E-2</v>
      </c>
      <c r="L128" s="68"/>
      <c r="M128" s="54">
        <v>45746</v>
      </c>
    </row>
    <row r="129" spans="2:13" x14ac:dyDescent="0.3">
      <c r="B129" s="68"/>
      <c r="C129" s="73"/>
      <c r="D129" s="73"/>
      <c r="E129" s="68"/>
      <c r="F129" s="68"/>
      <c r="G129" s="61" t="s">
        <v>74</v>
      </c>
      <c r="H129" s="8">
        <v>0.15</v>
      </c>
      <c r="I129" s="8">
        <f t="shared" si="30"/>
        <v>0.16648168701442839</v>
      </c>
      <c r="J129" s="8">
        <v>4.5</v>
      </c>
      <c r="K129" s="44">
        <f t="shared" si="29"/>
        <v>0.10987791342952269</v>
      </c>
      <c r="L129" s="68"/>
      <c r="M129" s="53" t="s">
        <v>88</v>
      </c>
    </row>
    <row r="130" spans="2:13" ht="15" thickBot="1" x14ac:dyDescent="0.35">
      <c r="B130" s="68"/>
      <c r="C130" s="73"/>
      <c r="D130" s="73"/>
      <c r="E130" s="68"/>
      <c r="F130" s="68"/>
      <c r="G130" s="61" t="s">
        <v>75</v>
      </c>
      <c r="H130" s="8">
        <v>0.5</v>
      </c>
      <c r="I130" s="8">
        <f t="shared" si="30"/>
        <v>0.51794302626711064</v>
      </c>
      <c r="J130" s="8">
        <v>14</v>
      </c>
      <c r="K130" s="44">
        <f t="shared" si="29"/>
        <v>3.588605253422128E-2</v>
      </c>
      <c r="L130" s="68"/>
      <c r="M130" s="55">
        <v>45747</v>
      </c>
    </row>
    <row r="131" spans="2:13" x14ac:dyDescent="0.3">
      <c r="B131" s="68"/>
      <c r="C131" s="73"/>
      <c r="D131" s="73"/>
      <c r="E131" s="68"/>
      <c r="F131" s="68"/>
      <c r="G131" s="61" t="s">
        <v>72</v>
      </c>
      <c r="H131" s="8">
        <v>0.2</v>
      </c>
      <c r="I131" s="8">
        <f t="shared" si="30"/>
        <v>0.20347761746207915</v>
      </c>
      <c r="J131" s="8">
        <v>5.5</v>
      </c>
      <c r="K131" s="44">
        <f t="shared" si="29"/>
        <v>1.7388087310395761E-2</v>
      </c>
      <c r="L131" s="68"/>
    </row>
    <row r="132" spans="2:13" ht="15" thickBot="1" x14ac:dyDescent="0.35">
      <c r="B132" s="68"/>
      <c r="C132" s="73"/>
      <c r="D132" s="73"/>
      <c r="E132" s="68"/>
      <c r="F132" s="68"/>
      <c r="G132" s="61" t="s">
        <v>51</v>
      </c>
      <c r="H132" s="8">
        <v>0.3</v>
      </c>
      <c r="I132" s="8">
        <f t="shared" si="30"/>
        <v>0.31446540880503143</v>
      </c>
      <c r="J132" s="8">
        <v>8.5</v>
      </c>
      <c r="K132" s="44">
        <f t="shared" si="29"/>
        <v>4.8218029350104885E-2</v>
      </c>
      <c r="L132" s="68"/>
    </row>
    <row r="133" spans="2:13" x14ac:dyDescent="0.3">
      <c r="B133" s="68">
        <v>9469</v>
      </c>
      <c r="C133" s="73" t="s">
        <v>83</v>
      </c>
      <c r="D133" s="73" t="s">
        <v>84</v>
      </c>
      <c r="E133" s="68">
        <v>249.36</v>
      </c>
      <c r="F133" s="93">
        <v>249.36</v>
      </c>
      <c r="G133" s="65" t="s">
        <v>69</v>
      </c>
      <c r="H133" s="8">
        <v>0.25</v>
      </c>
      <c r="I133" s="8">
        <f>J133/$F$133</f>
        <v>0.25004010266281679</v>
      </c>
      <c r="J133" s="8">
        <v>62.35</v>
      </c>
      <c r="K133" s="44">
        <f t="shared" si="29"/>
        <v>1.6041065126715104E-4</v>
      </c>
      <c r="L133" s="68">
        <v>4009</v>
      </c>
      <c r="M133" s="52" t="s">
        <v>87</v>
      </c>
    </row>
    <row r="134" spans="2:13" x14ac:dyDescent="0.3">
      <c r="B134" s="68"/>
      <c r="C134" s="73"/>
      <c r="D134" s="73"/>
      <c r="E134" s="68"/>
      <c r="F134" s="93">
        <v>216.6</v>
      </c>
      <c r="G134" s="65" t="s">
        <v>49</v>
      </c>
      <c r="H134" s="8">
        <v>0.5</v>
      </c>
      <c r="I134" s="8">
        <f>J134/$F$134</f>
        <v>0.50784856879039708</v>
      </c>
      <c r="J134" s="8">
        <v>110</v>
      </c>
      <c r="K134" s="44">
        <f t="shared" si="29"/>
        <v>1.5697137580794163E-2</v>
      </c>
      <c r="L134" s="68"/>
      <c r="M134" s="54">
        <v>45747</v>
      </c>
    </row>
    <row r="135" spans="2:13" x14ac:dyDescent="0.3">
      <c r="B135" s="68"/>
      <c r="C135" s="73"/>
      <c r="D135" s="73"/>
      <c r="E135" s="68"/>
      <c r="F135" s="93">
        <v>249.36</v>
      </c>
      <c r="G135" s="65" t="s">
        <v>75</v>
      </c>
      <c r="H135" s="8">
        <v>0.5</v>
      </c>
      <c r="I135" s="8">
        <f t="shared" ref="I135:I139" si="31">J135/$F$133</f>
        <v>0.49927815206929738</v>
      </c>
      <c r="J135" s="8">
        <v>124.5</v>
      </c>
      <c r="K135" s="44">
        <f t="shared" si="29"/>
        <v>-1.4436958614052475E-3</v>
      </c>
      <c r="L135" s="68"/>
      <c r="M135" s="53" t="s">
        <v>88</v>
      </c>
    </row>
    <row r="136" spans="2:13" x14ac:dyDescent="0.3">
      <c r="B136" s="68"/>
      <c r="C136" s="73"/>
      <c r="D136" s="73"/>
      <c r="E136" s="68"/>
      <c r="F136" s="93">
        <v>33.299999999999997</v>
      </c>
      <c r="G136" s="65" t="s">
        <v>73</v>
      </c>
      <c r="H136" s="8">
        <v>0.3</v>
      </c>
      <c r="I136" s="8">
        <f>J136/$F$136</f>
        <v>0.3003003003003003</v>
      </c>
      <c r="J136" s="8">
        <v>10</v>
      </c>
      <c r="K136" s="44">
        <f t="shared" si="29"/>
        <v>1.0010010010010895E-3</v>
      </c>
      <c r="L136" s="68"/>
      <c r="M136" s="53"/>
    </row>
    <row r="137" spans="2:13" ht="15" thickBot="1" x14ac:dyDescent="0.35">
      <c r="B137" s="68"/>
      <c r="C137" s="73"/>
      <c r="D137" s="73"/>
      <c r="E137" s="68"/>
      <c r="F137" s="93">
        <v>249.36</v>
      </c>
      <c r="G137" s="65" t="s">
        <v>72</v>
      </c>
      <c r="H137" s="8">
        <v>0.2</v>
      </c>
      <c r="I137" s="8">
        <f t="shared" si="31"/>
        <v>0.19995187680461982</v>
      </c>
      <c r="J137" s="8">
        <v>49.86</v>
      </c>
      <c r="K137" s="44">
        <f t="shared" si="29"/>
        <v>-2.406159769009486E-4</v>
      </c>
      <c r="L137" s="68"/>
      <c r="M137" s="55">
        <v>45751</v>
      </c>
    </row>
    <row r="138" spans="2:13" x14ac:dyDescent="0.3">
      <c r="B138" s="68"/>
      <c r="C138" s="73"/>
      <c r="D138" s="73"/>
      <c r="E138" s="68"/>
      <c r="F138" s="93">
        <v>249.36</v>
      </c>
      <c r="G138" s="65" t="s">
        <v>74</v>
      </c>
      <c r="H138" s="8">
        <v>0.15</v>
      </c>
      <c r="I138" s="8">
        <f t="shared" si="31"/>
        <v>0.15239011870388192</v>
      </c>
      <c r="J138" s="8">
        <v>38</v>
      </c>
      <c r="K138" s="44">
        <f t="shared" si="29"/>
        <v>1.5934124692546181E-2</v>
      </c>
      <c r="L138" s="68"/>
    </row>
    <row r="139" spans="2:13" ht="15" thickBot="1" x14ac:dyDescent="0.35">
      <c r="B139" s="68"/>
      <c r="C139" s="73"/>
      <c r="D139" s="73"/>
      <c r="E139" s="68"/>
      <c r="F139" s="93">
        <v>249.36</v>
      </c>
      <c r="G139" s="65" t="s">
        <v>51</v>
      </c>
      <c r="H139" s="8">
        <v>0.3</v>
      </c>
      <c r="I139" s="8">
        <f t="shared" si="31"/>
        <v>0.29996791786974653</v>
      </c>
      <c r="J139" s="8">
        <v>74.8</v>
      </c>
      <c r="K139" s="44">
        <f t="shared" si="29"/>
        <v>-1.0694043417824872E-4</v>
      </c>
      <c r="L139" s="68"/>
    </row>
    <row r="140" spans="2:13" x14ac:dyDescent="0.3">
      <c r="B140" s="68">
        <v>9284</v>
      </c>
      <c r="C140" s="73" t="s">
        <v>83</v>
      </c>
      <c r="D140" s="73" t="s">
        <v>84</v>
      </c>
      <c r="E140" s="68">
        <v>170.29</v>
      </c>
      <c r="F140" s="93">
        <v>170.29</v>
      </c>
      <c r="G140" s="65" t="s">
        <v>102</v>
      </c>
      <c r="H140" s="8">
        <v>0.25</v>
      </c>
      <c r="I140" s="8">
        <f>J140/$F$140</f>
        <v>0.24663808796758471</v>
      </c>
      <c r="J140" s="8">
        <v>42</v>
      </c>
      <c r="K140" s="44">
        <f t="shared" si="29"/>
        <v>-1.3447648129661149E-2</v>
      </c>
      <c r="L140" s="68">
        <v>4001</v>
      </c>
      <c r="M140" s="52" t="s">
        <v>87</v>
      </c>
    </row>
    <row r="141" spans="2:13" x14ac:dyDescent="0.3">
      <c r="B141" s="68"/>
      <c r="C141" s="73"/>
      <c r="D141" s="73"/>
      <c r="E141" s="68"/>
      <c r="F141" s="93">
        <v>119.29</v>
      </c>
      <c r="G141" s="65" t="s">
        <v>49</v>
      </c>
      <c r="H141" s="8">
        <v>0.5</v>
      </c>
      <c r="I141" s="8">
        <f>J141/$F$141</f>
        <v>0.50297594098415621</v>
      </c>
      <c r="J141" s="8">
        <v>60</v>
      </c>
      <c r="K141" s="44">
        <f t="shared" si="29"/>
        <v>5.9518819683124224E-3</v>
      </c>
      <c r="L141" s="68"/>
      <c r="M141" s="54">
        <v>45748</v>
      </c>
    </row>
    <row r="142" spans="2:13" x14ac:dyDescent="0.3">
      <c r="B142" s="68"/>
      <c r="C142" s="73"/>
      <c r="D142" s="73"/>
      <c r="E142" s="68"/>
      <c r="F142" s="93">
        <v>51</v>
      </c>
      <c r="G142" s="65" t="s">
        <v>73</v>
      </c>
      <c r="H142" s="8">
        <v>0.3</v>
      </c>
      <c r="I142" s="8">
        <f>J142/$F$142</f>
        <v>0.29411764705882354</v>
      </c>
      <c r="J142" s="8">
        <v>15</v>
      </c>
      <c r="K142" s="44">
        <f t="shared" si="29"/>
        <v>-1.9607843137254832E-2</v>
      </c>
      <c r="L142" s="68"/>
      <c r="M142" s="54"/>
    </row>
    <row r="143" spans="2:13" x14ac:dyDescent="0.3">
      <c r="B143" s="68"/>
      <c r="C143" s="73"/>
      <c r="D143" s="73"/>
      <c r="E143" s="68"/>
      <c r="F143" s="93">
        <v>170.29</v>
      </c>
      <c r="G143" s="65" t="s">
        <v>74</v>
      </c>
      <c r="H143" s="8">
        <v>0.15</v>
      </c>
      <c r="I143" s="8">
        <f t="shared" ref="I143:I146" si="32">J143/$F$140</f>
        <v>0.15268072112279055</v>
      </c>
      <c r="J143" s="8">
        <v>26</v>
      </c>
      <c r="K143" s="44">
        <f t="shared" si="29"/>
        <v>1.7871474151937017E-2</v>
      </c>
      <c r="L143" s="68"/>
      <c r="M143" s="53" t="s">
        <v>88</v>
      </c>
    </row>
    <row r="144" spans="2:13" ht="15" thickBot="1" x14ac:dyDescent="0.35">
      <c r="B144" s="68"/>
      <c r="C144" s="73"/>
      <c r="D144" s="73"/>
      <c r="E144" s="68"/>
      <c r="F144" s="93">
        <v>170.29</v>
      </c>
      <c r="G144" s="65" t="s">
        <v>75</v>
      </c>
      <c r="H144" s="8">
        <v>0.5</v>
      </c>
      <c r="I144" s="8">
        <f t="shared" si="32"/>
        <v>0.49327617593516943</v>
      </c>
      <c r="J144" s="8">
        <v>84</v>
      </c>
      <c r="K144" s="44">
        <f t="shared" si="29"/>
        <v>-1.3447648129661149E-2</v>
      </c>
      <c r="L144" s="68"/>
      <c r="M144" s="55">
        <v>45759</v>
      </c>
    </row>
    <row r="145" spans="2:13" x14ac:dyDescent="0.3">
      <c r="B145" s="68"/>
      <c r="C145" s="73"/>
      <c r="D145" s="73"/>
      <c r="E145" s="68"/>
      <c r="F145" s="93">
        <v>170.29</v>
      </c>
      <c r="G145" s="65" t="s">
        <v>72</v>
      </c>
      <c r="H145" s="8">
        <v>0.2</v>
      </c>
      <c r="I145" s="8">
        <f t="shared" si="32"/>
        <v>0.19965940454518763</v>
      </c>
      <c r="J145" s="8">
        <v>34</v>
      </c>
      <c r="K145" s="44">
        <f t="shared" si="29"/>
        <v>-1.7029772740618787E-3</v>
      </c>
      <c r="L145" s="68"/>
    </row>
    <row r="146" spans="2:13" ht="15" thickBot="1" x14ac:dyDescent="0.35">
      <c r="B146" s="68"/>
      <c r="C146" s="73"/>
      <c r="D146" s="73"/>
      <c r="E146" s="68"/>
      <c r="F146" s="93">
        <v>170.29</v>
      </c>
      <c r="G146" s="65" t="s">
        <v>51</v>
      </c>
      <c r="H146" s="8">
        <v>0.3</v>
      </c>
      <c r="I146" s="8">
        <f t="shared" si="32"/>
        <v>0.29361677138998182</v>
      </c>
      <c r="J146" s="8">
        <v>50</v>
      </c>
      <c r="K146" s="44">
        <f t="shared" si="29"/>
        <v>-2.1277428700060552E-2</v>
      </c>
      <c r="L146" s="68"/>
    </row>
    <row r="147" spans="2:13" x14ac:dyDescent="0.3">
      <c r="B147" s="68">
        <v>9210</v>
      </c>
      <c r="C147" s="73" t="s">
        <v>83</v>
      </c>
      <c r="D147" s="73" t="s">
        <v>84</v>
      </c>
      <c r="E147" s="68">
        <v>190</v>
      </c>
      <c r="F147" s="93">
        <v>190</v>
      </c>
      <c r="G147" s="65" t="s">
        <v>102</v>
      </c>
      <c r="H147" s="8">
        <v>0.25</v>
      </c>
      <c r="I147" s="8">
        <f>J147/$F$147</f>
        <v>0.25052631578947371</v>
      </c>
      <c r="J147" s="8">
        <v>47.6</v>
      </c>
      <c r="K147" s="44">
        <f t="shared" ref="K147:K165" si="33">I147/H147-1</f>
        <v>2.1052631578948322E-3</v>
      </c>
      <c r="L147" s="68">
        <v>181</v>
      </c>
      <c r="M147" s="52" t="s">
        <v>87</v>
      </c>
    </row>
    <row r="148" spans="2:13" x14ac:dyDescent="0.3">
      <c r="B148" s="68"/>
      <c r="C148" s="73"/>
      <c r="D148" s="73"/>
      <c r="E148" s="68"/>
      <c r="F148" s="93">
        <v>106</v>
      </c>
      <c r="G148" s="65" t="s">
        <v>49</v>
      </c>
      <c r="H148" s="8">
        <v>0.5</v>
      </c>
      <c r="I148" s="8">
        <f>J148/$F$148</f>
        <v>0.52830188679245282</v>
      </c>
      <c r="J148" s="8">
        <v>56</v>
      </c>
      <c r="K148" s="44">
        <f t="shared" si="33"/>
        <v>5.6603773584905648E-2</v>
      </c>
      <c r="L148" s="68"/>
      <c r="M148" s="54">
        <v>45748</v>
      </c>
    </row>
    <row r="149" spans="2:13" x14ac:dyDescent="0.3">
      <c r="B149" s="68"/>
      <c r="C149" s="73"/>
      <c r="D149" s="73"/>
      <c r="E149" s="68"/>
      <c r="F149" s="93">
        <v>190</v>
      </c>
      <c r="G149" s="65" t="s">
        <v>75</v>
      </c>
      <c r="H149" s="8">
        <v>0.5</v>
      </c>
      <c r="I149" s="8">
        <f>J149/$F$147</f>
        <v>0.49736842105263157</v>
      </c>
      <c r="J149" s="8">
        <v>94.5</v>
      </c>
      <c r="K149" s="44">
        <f t="shared" si="33"/>
        <v>-5.2631578947368585E-3</v>
      </c>
      <c r="L149" s="68"/>
      <c r="M149" s="53" t="s">
        <v>88</v>
      </c>
    </row>
    <row r="150" spans="2:13" x14ac:dyDescent="0.3">
      <c r="B150" s="68"/>
      <c r="C150" s="73"/>
      <c r="D150" s="73"/>
      <c r="E150" s="68"/>
      <c r="F150" s="93">
        <v>84</v>
      </c>
      <c r="G150" s="65" t="s">
        <v>73</v>
      </c>
      <c r="H150" s="8">
        <v>0.3</v>
      </c>
      <c r="I150" s="8">
        <f>J150/$F$150</f>
        <v>0.29761904761904762</v>
      </c>
      <c r="J150" s="8">
        <v>25</v>
      </c>
      <c r="K150" s="44">
        <f t="shared" si="33"/>
        <v>-7.9365079365079083E-3</v>
      </c>
      <c r="L150" s="68"/>
      <c r="M150" s="53"/>
    </row>
    <row r="151" spans="2:13" ht="15" thickBot="1" x14ac:dyDescent="0.35">
      <c r="B151" s="68"/>
      <c r="C151" s="73"/>
      <c r="D151" s="73"/>
      <c r="E151" s="68"/>
      <c r="F151" s="93">
        <v>190</v>
      </c>
      <c r="G151" s="65" t="s">
        <v>72</v>
      </c>
      <c r="H151" s="8">
        <v>0.2</v>
      </c>
      <c r="I151" s="8">
        <f t="shared" ref="I151:I153" si="34">J151/$F$147</f>
        <v>0.2</v>
      </c>
      <c r="J151" s="8">
        <v>38</v>
      </c>
      <c r="K151" s="94">
        <f t="shared" si="33"/>
        <v>0</v>
      </c>
      <c r="L151" s="68"/>
      <c r="M151" s="55">
        <v>45757</v>
      </c>
    </row>
    <row r="152" spans="2:13" x14ac:dyDescent="0.3">
      <c r="B152" s="68"/>
      <c r="C152" s="73"/>
      <c r="D152" s="73"/>
      <c r="E152" s="68"/>
      <c r="F152" s="93">
        <v>190</v>
      </c>
      <c r="G152" s="65" t="s">
        <v>74</v>
      </c>
      <c r="H152" s="8">
        <v>0.15</v>
      </c>
      <c r="I152" s="8">
        <f t="shared" si="34"/>
        <v>0.15263157894736842</v>
      </c>
      <c r="J152" s="8">
        <v>29</v>
      </c>
      <c r="K152" s="44">
        <f t="shared" si="33"/>
        <v>1.7543859649122862E-2</v>
      </c>
      <c r="L152" s="68"/>
    </row>
    <row r="153" spans="2:13" ht="15" thickBot="1" x14ac:dyDescent="0.35">
      <c r="B153" s="68"/>
      <c r="C153" s="73"/>
      <c r="D153" s="73"/>
      <c r="E153" s="68"/>
      <c r="F153" s="93">
        <v>190</v>
      </c>
      <c r="G153" s="65" t="s">
        <v>51</v>
      </c>
      <c r="H153" s="8">
        <v>0.3</v>
      </c>
      <c r="I153" s="8">
        <f t="shared" si="34"/>
        <v>0.3005263157894737</v>
      </c>
      <c r="J153" s="8">
        <v>57.1</v>
      </c>
      <c r="K153" s="44">
        <f t="shared" si="33"/>
        <v>1.7543859649122862E-3</v>
      </c>
      <c r="L153" s="68"/>
    </row>
    <row r="154" spans="2:13" x14ac:dyDescent="0.3">
      <c r="B154" s="68"/>
      <c r="C154" s="73" t="s">
        <v>83</v>
      </c>
      <c r="D154" s="73" t="s">
        <v>106</v>
      </c>
      <c r="E154" s="68">
        <v>21</v>
      </c>
      <c r="F154" s="68">
        <v>21</v>
      </c>
      <c r="G154" s="65" t="s">
        <v>102</v>
      </c>
      <c r="H154" s="8">
        <v>0.25</v>
      </c>
      <c r="I154" s="8">
        <f>J154/$F$154</f>
        <v>0.24952380952380954</v>
      </c>
      <c r="J154" s="8">
        <v>5.24</v>
      </c>
      <c r="K154" s="44">
        <f t="shared" si="33"/>
        <v>-1.9047619047618536E-3</v>
      </c>
      <c r="L154" s="68">
        <v>4002</v>
      </c>
      <c r="M154" s="52" t="s">
        <v>87</v>
      </c>
    </row>
    <row r="155" spans="2:13" x14ac:dyDescent="0.3">
      <c r="B155" s="68"/>
      <c r="C155" s="73"/>
      <c r="D155" s="73"/>
      <c r="E155" s="68"/>
      <c r="F155" s="68"/>
      <c r="G155" s="65" t="s">
        <v>73</v>
      </c>
      <c r="H155" s="8">
        <v>0.11</v>
      </c>
      <c r="I155" s="8">
        <f t="shared" ref="I155:I159" si="35">J155/$F$154</f>
        <v>0.1380952380952381</v>
      </c>
      <c r="J155" s="8">
        <v>2.9</v>
      </c>
      <c r="K155" s="44">
        <f t="shared" si="33"/>
        <v>0.25541125541125553</v>
      </c>
      <c r="L155" s="68"/>
      <c r="M155" s="54">
        <v>45759</v>
      </c>
    </row>
    <row r="156" spans="2:13" x14ac:dyDescent="0.3">
      <c r="B156" s="68"/>
      <c r="C156" s="73"/>
      <c r="D156" s="73"/>
      <c r="E156" s="68"/>
      <c r="F156" s="68"/>
      <c r="G156" s="65" t="s">
        <v>75</v>
      </c>
      <c r="H156" s="8">
        <v>0.5</v>
      </c>
      <c r="I156" s="8">
        <f t="shared" si="35"/>
        <v>0.49523809523809526</v>
      </c>
      <c r="J156" s="8">
        <v>10.4</v>
      </c>
      <c r="K156" s="44">
        <f t="shared" si="33"/>
        <v>-9.52380952380949E-3</v>
      </c>
      <c r="L156" s="68"/>
      <c r="M156" s="53" t="s">
        <v>88</v>
      </c>
    </row>
    <row r="157" spans="2:13" x14ac:dyDescent="0.3">
      <c r="B157" s="68"/>
      <c r="C157" s="73"/>
      <c r="D157" s="73"/>
      <c r="E157" s="68"/>
      <c r="F157" s="68"/>
      <c r="G157" s="65" t="s">
        <v>72</v>
      </c>
      <c r="H157" s="8">
        <v>0.2</v>
      </c>
      <c r="I157" s="8">
        <f t="shared" si="35"/>
        <v>0.19761904761904764</v>
      </c>
      <c r="J157" s="8">
        <v>4.1500000000000004</v>
      </c>
      <c r="K157" s="44">
        <f t="shared" si="33"/>
        <v>-1.1904761904761862E-2</v>
      </c>
      <c r="L157" s="68"/>
      <c r="M157" s="54">
        <v>45759</v>
      </c>
    </row>
    <row r="158" spans="2:13" x14ac:dyDescent="0.3">
      <c r="B158" s="68"/>
      <c r="C158" s="73"/>
      <c r="D158" s="73"/>
      <c r="E158" s="68"/>
      <c r="F158" s="68"/>
      <c r="G158" s="65" t="s">
        <v>51</v>
      </c>
      <c r="H158" s="8">
        <v>0.3</v>
      </c>
      <c r="I158" s="8">
        <f t="shared" si="35"/>
        <v>0.29761904761904762</v>
      </c>
      <c r="J158" s="8">
        <v>6.25</v>
      </c>
      <c r="K158" s="44">
        <f t="shared" si="33"/>
        <v>-7.9365079365079083E-3</v>
      </c>
      <c r="L158" s="68"/>
    </row>
    <row r="159" spans="2:13" ht="15" thickBot="1" x14ac:dyDescent="0.35">
      <c r="B159" s="68"/>
      <c r="C159" s="73"/>
      <c r="D159" s="73"/>
      <c r="E159" s="68"/>
      <c r="F159" s="68"/>
      <c r="G159" s="65" t="s">
        <v>71</v>
      </c>
      <c r="H159" s="8">
        <v>13</v>
      </c>
      <c r="I159" s="8">
        <f t="shared" si="35"/>
        <v>13.422380952380953</v>
      </c>
      <c r="J159" s="8">
        <v>281.87</v>
      </c>
      <c r="K159" s="44">
        <f t="shared" si="33"/>
        <v>3.2490842490842553E-2</v>
      </c>
      <c r="L159" s="68"/>
    </row>
    <row r="160" spans="2:13" x14ac:dyDescent="0.3">
      <c r="B160" s="68">
        <v>9468</v>
      </c>
      <c r="C160" s="73" t="s">
        <v>112</v>
      </c>
      <c r="D160" s="73" t="s">
        <v>113</v>
      </c>
      <c r="E160" s="68">
        <v>106.16</v>
      </c>
      <c r="F160" s="68">
        <v>106.16</v>
      </c>
      <c r="G160" s="65" t="s">
        <v>102</v>
      </c>
      <c r="H160" s="8">
        <v>0.25</v>
      </c>
      <c r="I160" s="8">
        <f>J160/$F$160</f>
        <v>0.25056518462697819</v>
      </c>
      <c r="J160" s="8">
        <v>26.6</v>
      </c>
      <c r="K160" s="44">
        <f t="shared" si="33"/>
        <v>2.2607385079127518E-3</v>
      </c>
      <c r="L160" s="68">
        <v>181</v>
      </c>
      <c r="M160" s="52" t="s">
        <v>87</v>
      </c>
    </row>
    <row r="161" spans="2:13" x14ac:dyDescent="0.3">
      <c r="B161" s="68"/>
      <c r="C161" s="73"/>
      <c r="D161" s="73"/>
      <c r="E161" s="68"/>
      <c r="F161" s="68"/>
      <c r="G161" s="65" t="s">
        <v>49</v>
      </c>
      <c r="H161" s="8">
        <v>0.5</v>
      </c>
      <c r="I161" s="8">
        <f t="shared" ref="I161:I165" si="36">J161/$F$160</f>
        <v>0.50866616428033162</v>
      </c>
      <c r="J161" s="8">
        <v>54</v>
      </c>
      <c r="K161" s="44">
        <f t="shared" si="33"/>
        <v>1.7332328560663246E-2</v>
      </c>
      <c r="L161" s="68"/>
      <c r="M161" s="54">
        <v>45753</v>
      </c>
    </row>
    <row r="162" spans="2:13" x14ac:dyDescent="0.3">
      <c r="B162" s="68"/>
      <c r="C162" s="73"/>
      <c r="D162" s="73"/>
      <c r="E162" s="68"/>
      <c r="F162" s="68"/>
      <c r="G162" s="65" t="s">
        <v>75</v>
      </c>
      <c r="H162" s="8">
        <v>0.5</v>
      </c>
      <c r="I162" s="8">
        <f t="shared" si="36"/>
        <v>0.49924642049736251</v>
      </c>
      <c r="J162" s="8">
        <v>53</v>
      </c>
      <c r="K162" s="44">
        <f t="shared" si="33"/>
        <v>-1.5071590052749828E-3</v>
      </c>
      <c r="L162" s="68"/>
      <c r="M162" s="53" t="s">
        <v>88</v>
      </c>
    </row>
    <row r="163" spans="2:13" ht="15" thickBot="1" x14ac:dyDescent="0.35">
      <c r="B163" s="68"/>
      <c r="C163" s="73"/>
      <c r="D163" s="73"/>
      <c r="E163" s="68"/>
      <c r="F163" s="68"/>
      <c r="G163" s="65" t="s">
        <v>72</v>
      </c>
      <c r="H163" s="8">
        <v>0.2</v>
      </c>
      <c r="I163" s="8">
        <f t="shared" si="36"/>
        <v>0.19969856819894499</v>
      </c>
      <c r="J163" s="8">
        <v>21.2</v>
      </c>
      <c r="K163" s="44">
        <f t="shared" si="33"/>
        <v>-1.5071590052750938E-3</v>
      </c>
      <c r="L163" s="68"/>
      <c r="M163" s="55">
        <v>45759</v>
      </c>
    </row>
    <row r="164" spans="2:13" x14ac:dyDescent="0.3">
      <c r="B164" s="68"/>
      <c r="C164" s="73"/>
      <c r="D164" s="73"/>
      <c r="E164" s="68"/>
      <c r="F164" s="68"/>
      <c r="G164" s="65" t="s">
        <v>74</v>
      </c>
      <c r="H164" s="8">
        <v>0.15</v>
      </c>
      <c r="I164" s="8">
        <f t="shared" si="36"/>
        <v>0.15730972117558403</v>
      </c>
      <c r="J164" s="8">
        <v>16.7</v>
      </c>
      <c r="K164" s="44">
        <f t="shared" si="33"/>
        <v>4.873147450389359E-2</v>
      </c>
      <c r="L164" s="68"/>
    </row>
    <row r="165" spans="2:13" ht="15" thickBot="1" x14ac:dyDescent="0.35">
      <c r="B165" s="68"/>
      <c r="C165" s="73"/>
      <c r="D165" s="73"/>
      <c r="E165" s="68"/>
      <c r="F165" s="68"/>
      <c r="G165" s="65" t="s">
        <v>51</v>
      </c>
      <c r="H165" s="8">
        <v>0.3</v>
      </c>
      <c r="I165" s="8">
        <f t="shared" si="36"/>
        <v>0.29860587792012055</v>
      </c>
      <c r="J165" s="8">
        <v>31.7</v>
      </c>
      <c r="K165" s="44">
        <f t="shared" si="33"/>
        <v>-4.6470735995981505E-3</v>
      </c>
      <c r="L165" s="68"/>
    </row>
    <row r="166" spans="2:13" x14ac:dyDescent="0.3">
      <c r="B166" s="68">
        <v>9469</v>
      </c>
      <c r="C166" s="73" t="s">
        <v>112</v>
      </c>
      <c r="D166" s="73" t="s">
        <v>113</v>
      </c>
      <c r="E166" s="68">
        <v>106</v>
      </c>
      <c r="F166" s="68">
        <v>106</v>
      </c>
      <c r="G166" s="65" t="s">
        <v>102</v>
      </c>
      <c r="H166" s="8">
        <v>0.25</v>
      </c>
      <c r="I166" s="8">
        <f>J166/$F$166</f>
        <v>0.25141509433962261</v>
      </c>
      <c r="J166" s="8">
        <v>26.65</v>
      </c>
      <c r="K166" s="44">
        <f t="shared" ref="K166:K171" si="37">I166/H166-1</f>
        <v>5.6603773584904538E-3</v>
      </c>
      <c r="L166" s="68">
        <v>181</v>
      </c>
      <c r="M166" s="52" t="s">
        <v>87</v>
      </c>
    </row>
    <row r="167" spans="2:13" x14ac:dyDescent="0.3">
      <c r="B167" s="68"/>
      <c r="C167" s="73"/>
      <c r="D167" s="73"/>
      <c r="E167" s="68"/>
      <c r="F167" s="68"/>
      <c r="G167" s="65" t="s">
        <v>49</v>
      </c>
      <c r="H167" s="8">
        <v>0.5</v>
      </c>
      <c r="I167" s="8">
        <f t="shared" ref="I167:I171" si="38">J167/$F$166</f>
        <v>0.5</v>
      </c>
      <c r="J167" s="8">
        <v>53</v>
      </c>
      <c r="K167" s="44">
        <f t="shared" si="37"/>
        <v>0</v>
      </c>
      <c r="L167" s="68"/>
      <c r="M167" s="54">
        <v>45753</v>
      </c>
    </row>
    <row r="168" spans="2:13" x14ac:dyDescent="0.3">
      <c r="B168" s="68"/>
      <c r="C168" s="73"/>
      <c r="D168" s="73"/>
      <c r="E168" s="68"/>
      <c r="F168" s="68"/>
      <c r="G168" s="65" t="s">
        <v>75</v>
      </c>
      <c r="H168" s="8">
        <v>0.5</v>
      </c>
      <c r="I168" s="8">
        <f t="shared" si="38"/>
        <v>0.49528301886792453</v>
      </c>
      <c r="J168" s="8">
        <v>52.5</v>
      </c>
      <c r="K168" s="44">
        <f t="shared" si="37"/>
        <v>-9.4339622641509413E-3</v>
      </c>
      <c r="L168" s="68"/>
      <c r="M168" s="53" t="s">
        <v>88</v>
      </c>
    </row>
    <row r="169" spans="2:13" ht="15" thickBot="1" x14ac:dyDescent="0.35">
      <c r="B169" s="68"/>
      <c r="C169" s="73"/>
      <c r="D169" s="73"/>
      <c r="E169" s="68"/>
      <c r="F169" s="68"/>
      <c r="G169" s="65" t="s">
        <v>72</v>
      </c>
      <c r="H169" s="8">
        <v>0.2</v>
      </c>
      <c r="I169" s="8">
        <f t="shared" si="38"/>
        <v>0.19905660377358492</v>
      </c>
      <c r="J169" s="8">
        <v>21.1</v>
      </c>
      <c r="K169" s="44">
        <f t="shared" si="37"/>
        <v>-4.7169811320754151E-3</v>
      </c>
      <c r="L169" s="68"/>
      <c r="M169" s="55">
        <v>45757</v>
      </c>
    </row>
    <row r="170" spans="2:13" x14ac:dyDescent="0.3">
      <c r="B170" s="68"/>
      <c r="C170" s="73"/>
      <c r="D170" s="73"/>
      <c r="E170" s="68"/>
      <c r="F170" s="68"/>
      <c r="G170" s="65" t="s">
        <v>74</v>
      </c>
      <c r="H170" s="8">
        <v>0.15</v>
      </c>
      <c r="I170" s="8">
        <f t="shared" si="38"/>
        <v>0.15377358490566037</v>
      </c>
      <c r="J170" s="8">
        <v>16.3</v>
      </c>
      <c r="K170" s="44">
        <f t="shared" si="37"/>
        <v>2.515723270440251E-2</v>
      </c>
      <c r="L170" s="68"/>
    </row>
    <row r="171" spans="2:13" ht="15" thickBot="1" x14ac:dyDescent="0.35">
      <c r="B171" s="68"/>
      <c r="C171" s="73"/>
      <c r="D171" s="73"/>
      <c r="E171" s="68"/>
      <c r="F171" s="68"/>
      <c r="G171" s="65" t="s">
        <v>51</v>
      </c>
      <c r="H171" s="8">
        <v>0.3</v>
      </c>
      <c r="I171" s="8">
        <f t="shared" si="38"/>
        <v>0.29952830188679247</v>
      </c>
      <c r="J171" s="8">
        <v>31.75</v>
      </c>
      <c r="K171" s="44">
        <f t="shared" si="37"/>
        <v>-1.5723270440251014E-3</v>
      </c>
      <c r="L171" s="68"/>
    </row>
    <row r="172" spans="2:13" x14ac:dyDescent="0.3">
      <c r="B172" s="68">
        <v>9207</v>
      </c>
      <c r="C172" s="73" t="s">
        <v>114</v>
      </c>
      <c r="D172" s="73" t="s">
        <v>115</v>
      </c>
      <c r="E172" s="68">
        <v>225.83</v>
      </c>
      <c r="F172" s="93">
        <v>225.83</v>
      </c>
      <c r="G172" s="65" t="s">
        <v>102</v>
      </c>
      <c r="H172" s="8">
        <v>0.25</v>
      </c>
      <c r="I172" s="8">
        <f>J172/$F$172</f>
        <v>0.24996678917770004</v>
      </c>
      <c r="J172" s="8">
        <v>56.45</v>
      </c>
      <c r="K172" s="44">
        <f t="shared" ref="K172:K178" si="39">I172/H172-1</f>
        <v>-1.3284328919982435E-4</v>
      </c>
      <c r="L172" s="68">
        <v>327</v>
      </c>
      <c r="M172" s="52" t="s">
        <v>87</v>
      </c>
    </row>
    <row r="173" spans="2:13" x14ac:dyDescent="0.3">
      <c r="B173" s="68"/>
      <c r="C173" s="73"/>
      <c r="D173" s="73"/>
      <c r="E173" s="68"/>
      <c r="F173" s="93">
        <v>141.83000000000001</v>
      </c>
      <c r="G173" s="65" t="s">
        <v>49</v>
      </c>
      <c r="H173" s="8">
        <v>0.5</v>
      </c>
      <c r="I173" s="8">
        <f>J173/$F$173</f>
        <v>0.52880208700556997</v>
      </c>
      <c r="J173" s="8">
        <v>75</v>
      </c>
      <c r="K173" s="44">
        <f t="shared" si="39"/>
        <v>5.760417401113993E-2</v>
      </c>
      <c r="L173" s="68"/>
      <c r="M173" s="54">
        <v>45747</v>
      </c>
    </row>
    <row r="174" spans="2:13" x14ac:dyDescent="0.3">
      <c r="B174" s="68"/>
      <c r="C174" s="73"/>
      <c r="D174" s="73"/>
      <c r="E174" s="68"/>
      <c r="F174" s="93">
        <v>84</v>
      </c>
      <c r="G174" s="65" t="s">
        <v>73</v>
      </c>
      <c r="H174" s="8">
        <v>0.3</v>
      </c>
      <c r="I174" s="8">
        <f>J174/$F$174</f>
        <v>0.29761904761904762</v>
      </c>
      <c r="J174" s="8">
        <v>25</v>
      </c>
      <c r="K174" s="44">
        <f t="shared" si="39"/>
        <v>-7.9365079365079083E-3</v>
      </c>
      <c r="L174" s="68"/>
      <c r="M174" s="54"/>
    </row>
    <row r="175" spans="2:13" x14ac:dyDescent="0.3">
      <c r="B175" s="68"/>
      <c r="C175" s="73"/>
      <c r="D175" s="73"/>
      <c r="E175" s="68"/>
      <c r="F175" s="93"/>
      <c r="G175" s="65" t="s">
        <v>75</v>
      </c>
      <c r="H175" s="8">
        <v>0.5</v>
      </c>
      <c r="I175" s="8">
        <f t="shared" ref="I175:I178" si="40">J175/$F$172</f>
        <v>0.49594827967940486</v>
      </c>
      <c r="J175" s="8">
        <v>112</v>
      </c>
      <c r="K175" s="44">
        <f t="shared" si="39"/>
        <v>-8.1034406411902848E-3</v>
      </c>
      <c r="L175" s="68"/>
      <c r="M175" s="53" t="s">
        <v>88</v>
      </c>
    </row>
    <row r="176" spans="2:13" ht="15" thickBot="1" x14ac:dyDescent="0.35">
      <c r="B176" s="68"/>
      <c r="C176" s="73"/>
      <c r="D176" s="73"/>
      <c r="E176" s="68"/>
      <c r="F176" s="93"/>
      <c r="G176" s="65" t="s">
        <v>72</v>
      </c>
      <c r="H176" s="8">
        <v>0.2</v>
      </c>
      <c r="I176" s="8">
        <f t="shared" si="40"/>
        <v>0.19997343134216</v>
      </c>
      <c r="J176" s="8">
        <v>45.16</v>
      </c>
      <c r="K176" s="44">
        <f t="shared" si="39"/>
        <v>-1.328432892000464E-4</v>
      </c>
      <c r="L176" s="68"/>
      <c r="M176" s="55">
        <v>45758</v>
      </c>
    </row>
    <row r="177" spans="2:13" x14ac:dyDescent="0.3">
      <c r="B177" s="68"/>
      <c r="C177" s="73"/>
      <c r="D177" s="73"/>
      <c r="E177" s="68"/>
      <c r="F177" s="93"/>
      <c r="G177" s="65" t="s">
        <v>74</v>
      </c>
      <c r="H177" s="8">
        <v>0.15</v>
      </c>
      <c r="I177" s="8">
        <f t="shared" si="40"/>
        <v>0.15055572775981932</v>
      </c>
      <c r="J177" s="8">
        <v>34</v>
      </c>
      <c r="K177" s="44">
        <f t="shared" si="39"/>
        <v>3.7048517321287555E-3</v>
      </c>
      <c r="L177" s="68"/>
    </row>
    <row r="178" spans="2:13" ht="15" thickBot="1" x14ac:dyDescent="0.35">
      <c r="B178" s="68"/>
      <c r="C178" s="73"/>
      <c r="D178" s="73"/>
      <c r="E178" s="68"/>
      <c r="F178" s="93"/>
      <c r="G178" s="65" t="s">
        <v>51</v>
      </c>
      <c r="H178" s="8">
        <v>0.3</v>
      </c>
      <c r="I178" s="8">
        <f t="shared" si="40"/>
        <v>0.29996014701324003</v>
      </c>
      <c r="J178" s="8">
        <v>67.739999999999995</v>
      </c>
      <c r="K178" s="44">
        <f t="shared" si="39"/>
        <v>-1.3284328919982435E-4</v>
      </c>
      <c r="L178" s="68"/>
    </row>
    <row r="179" spans="2:13" x14ac:dyDescent="0.3">
      <c r="B179" s="68">
        <v>1104</v>
      </c>
      <c r="C179" s="73" t="s">
        <v>116</v>
      </c>
      <c r="D179" s="73" t="s">
        <v>117</v>
      </c>
      <c r="E179" s="68">
        <v>84.16</v>
      </c>
      <c r="F179" s="69">
        <v>84.16</v>
      </c>
      <c r="G179" s="65" t="s">
        <v>102</v>
      </c>
      <c r="H179" s="8">
        <v>0.25</v>
      </c>
      <c r="I179" s="8">
        <f>J179/$F$179</f>
        <v>0.3029942965779468</v>
      </c>
      <c r="J179" s="8">
        <v>25.5</v>
      </c>
      <c r="K179" s="44">
        <f t="shared" ref="K179:K184" si="41">I179/H179-1</f>
        <v>0.21197718631178719</v>
      </c>
      <c r="L179" s="68">
        <v>327</v>
      </c>
      <c r="M179" s="52" t="s">
        <v>87</v>
      </c>
    </row>
    <row r="180" spans="2:13" x14ac:dyDescent="0.3">
      <c r="B180" s="68"/>
      <c r="C180" s="73"/>
      <c r="D180" s="73"/>
      <c r="E180" s="68"/>
      <c r="F180" s="70"/>
      <c r="G180" s="65" t="s">
        <v>49</v>
      </c>
      <c r="H180" s="8">
        <v>0.5</v>
      </c>
      <c r="I180" s="8">
        <f t="shared" ref="I180:I184" si="42">J180/$F$179</f>
        <v>0.4990494296577947</v>
      </c>
      <c r="J180" s="8">
        <v>42</v>
      </c>
      <c r="K180" s="44">
        <f t="shared" si="41"/>
        <v>-1.9011406844106071E-3</v>
      </c>
      <c r="L180" s="68"/>
      <c r="M180" s="54">
        <v>45758</v>
      </c>
    </row>
    <row r="181" spans="2:13" x14ac:dyDescent="0.3">
      <c r="B181" s="68"/>
      <c r="C181" s="73"/>
      <c r="D181" s="73"/>
      <c r="E181" s="68"/>
      <c r="F181" s="70"/>
      <c r="G181" s="65" t="s">
        <v>75</v>
      </c>
      <c r="H181" s="8">
        <v>0.5</v>
      </c>
      <c r="I181" s="8">
        <f t="shared" si="42"/>
        <v>0.48716730038022815</v>
      </c>
      <c r="J181" s="8">
        <v>41</v>
      </c>
      <c r="K181" s="44">
        <f t="shared" si="41"/>
        <v>-2.5665399239543696E-2</v>
      </c>
      <c r="L181" s="68"/>
      <c r="M181" s="53" t="s">
        <v>88</v>
      </c>
    </row>
    <row r="182" spans="2:13" ht="15" thickBot="1" x14ac:dyDescent="0.35">
      <c r="B182" s="68"/>
      <c r="C182" s="73"/>
      <c r="D182" s="73"/>
      <c r="E182" s="68"/>
      <c r="F182" s="70"/>
      <c r="G182" s="65" t="s">
        <v>72</v>
      </c>
      <c r="H182" s="8">
        <v>0.2</v>
      </c>
      <c r="I182" s="8">
        <f t="shared" si="42"/>
        <v>0.19011406844106465</v>
      </c>
      <c r="J182" s="8">
        <v>16</v>
      </c>
      <c r="K182" s="44">
        <f t="shared" si="41"/>
        <v>-4.9429657794676785E-2</v>
      </c>
      <c r="L182" s="68"/>
      <c r="M182" s="55">
        <v>45762</v>
      </c>
    </row>
    <row r="183" spans="2:13" x14ac:dyDescent="0.3">
      <c r="B183" s="68"/>
      <c r="C183" s="73"/>
      <c r="D183" s="73"/>
      <c r="E183" s="68"/>
      <c r="F183" s="70"/>
      <c r="G183" s="65" t="s">
        <v>74</v>
      </c>
      <c r="H183" s="8">
        <v>0.15</v>
      </c>
      <c r="I183" s="8">
        <f t="shared" si="42"/>
        <v>0.15446768060836502</v>
      </c>
      <c r="J183" s="8">
        <v>13</v>
      </c>
      <c r="K183" s="44">
        <f t="shared" si="41"/>
        <v>2.9784537389100141E-2</v>
      </c>
      <c r="L183" s="68"/>
    </row>
    <row r="184" spans="2:13" x14ac:dyDescent="0.3">
      <c r="B184" s="68"/>
      <c r="C184" s="73"/>
      <c r="D184" s="73"/>
      <c r="E184" s="68"/>
      <c r="F184" s="71"/>
      <c r="G184" s="65" t="s">
        <v>51</v>
      </c>
      <c r="H184" s="8">
        <v>0.3</v>
      </c>
      <c r="I184" s="8">
        <f t="shared" si="42"/>
        <v>0.2970532319391635</v>
      </c>
      <c r="J184" s="8">
        <v>25</v>
      </c>
      <c r="K184" s="44">
        <f t="shared" si="41"/>
        <v>-9.8225602027882664E-3</v>
      </c>
      <c r="L184" s="68"/>
    </row>
    <row r="188" spans="2:13" ht="28.8" x14ac:dyDescent="0.3">
      <c r="D188" s="72" t="s">
        <v>107</v>
      </c>
      <c r="E188" s="63" t="s">
        <v>4</v>
      </c>
      <c r="F188" s="63" t="s">
        <v>17</v>
      </c>
      <c r="G188" s="63" t="s">
        <v>2</v>
      </c>
      <c r="H188" s="63" t="s">
        <v>10</v>
      </c>
      <c r="I188" s="63" t="s">
        <v>16</v>
      </c>
      <c r="J188" s="63" t="s">
        <v>18</v>
      </c>
      <c r="K188" s="63" t="s">
        <v>11</v>
      </c>
    </row>
    <row r="189" spans="2:13" x14ac:dyDescent="0.3">
      <c r="D189" s="72"/>
      <c r="E189" s="68">
        <f>SUM(E3:E132)</f>
        <v>1619.7499999999998</v>
      </c>
      <c r="F189" s="60">
        <f>SUM(F127+F121+F115+F109+F140+F147+F154+F160+F172+F179)</f>
        <v>916.17</v>
      </c>
      <c r="G189" s="61" t="s">
        <v>102</v>
      </c>
      <c r="H189" s="8">
        <v>0.25</v>
      </c>
      <c r="I189" s="8">
        <f>J189/$F$189</f>
        <v>0.28448868659746551</v>
      </c>
      <c r="J189" s="8">
        <f>SUM(J109+J115+J121+J127+J140+J147+J154+J160+J166+J172+J179)</f>
        <v>260.64</v>
      </c>
      <c r="K189" s="44">
        <f t="shared" ref="K189:K198" si="43">I189/H189-1</f>
        <v>0.13795474638986205</v>
      </c>
    </row>
    <row r="190" spans="2:13" x14ac:dyDescent="0.3">
      <c r="D190" s="72"/>
      <c r="E190" s="68"/>
      <c r="F190" s="60">
        <f>SUM(F73)</f>
        <v>49</v>
      </c>
      <c r="G190" s="61" t="s">
        <v>49</v>
      </c>
      <c r="H190" s="8">
        <v>0.2</v>
      </c>
      <c r="I190" s="8">
        <f>J190/$F$190</f>
        <v>0.20408163265306123</v>
      </c>
      <c r="J190" s="8">
        <f>SUM(J74)</f>
        <v>10</v>
      </c>
      <c r="K190" s="44">
        <f t="shared" si="43"/>
        <v>2.0408163265306145E-2</v>
      </c>
    </row>
    <row r="191" spans="2:13" x14ac:dyDescent="0.3">
      <c r="D191" s="72"/>
      <c r="E191" s="68"/>
      <c r="F191" s="60">
        <f>SUM(F3+F7+F18+F24+F30+F36+F42+F62+F67+F79+F85+F97+F103+F109+F115+F127+F134+F141+F148+F160+F166+F173+F179)</f>
        <v>2073.5399999999995</v>
      </c>
      <c r="G191" s="61" t="s">
        <v>49</v>
      </c>
      <c r="H191" s="8">
        <v>0.5</v>
      </c>
      <c r="I191" s="8">
        <f>J191/$F$191</f>
        <v>0.50530011477955594</v>
      </c>
      <c r="J191" s="8">
        <f>SUM(J6+J10+J19+J25+J31+J37+J43+J63+J68+J80+J86+J98+J104+J110+J116+J128+J134+J141+J148+J161+J167+J173+J180)</f>
        <v>1047.7600000000002</v>
      </c>
      <c r="K191" s="44">
        <f t="shared" si="43"/>
        <v>1.0600229559111884E-2</v>
      </c>
    </row>
    <row r="192" spans="2:13" x14ac:dyDescent="0.3">
      <c r="D192" s="72"/>
      <c r="E192" s="68"/>
      <c r="F192" s="60">
        <f>SUM(F18+F24+F30+F36+F42+F67+F85+F97+F103+F109+F115+F127+F138+F143+F152+F160+F166+F172+F179)</f>
        <v>2070.94</v>
      </c>
      <c r="G192" s="61" t="s">
        <v>74</v>
      </c>
      <c r="H192" s="8">
        <v>0.15</v>
      </c>
      <c r="I192" s="8">
        <f>J192/$F$192</f>
        <v>0.1407737549132278</v>
      </c>
      <c r="J192" s="8">
        <f>SUM(J23+J29+J32+J38+J44+J70+J89+J101+J105+J111+J117+J129+J138+J143+J152+J170+J177+J183)</f>
        <v>291.53399999999999</v>
      </c>
      <c r="K192" s="44">
        <f t="shared" si="43"/>
        <v>-6.1508300578481334E-2</v>
      </c>
    </row>
    <row r="193" spans="4:11" x14ac:dyDescent="0.3">
      <c r="D193" s="72"/>
      <c r="E193" s="68"/>
      <c r="F193" s="60">
        <f>SUM(F3+F7+F12+F18+F24+F30+F36+F42+F48+F54+F62+F67+F73+F79+F85+F91+F97+F103+F109+F115+F121+F127+F135+F144+F149+F154+F160+F172+F179)</f>
        <v>2666.5499999999993</v>
      </c>
      <c r="G193" s="61" t="s">
        <v>75</v>
      </c>
      <c r="H193" s="8">
        <v>0.5</v>
      </c>
      <c r="I193" s="8">
        <f>J193/$F$193</f>
        <v>0.48844011925521758</v>
      </c>
      <c r="J193" s="8">
        <f>SUM(J5+J9+J14+J20+J26+J33+J39+J45+J50+J56+J64+J69+J75+J81+J87+J93+J99+J106+J112+J118+J123+J130+J135+J149+J156+J162+J168+J175+J181)</f>
        <v>1302.45</v>
      </c>
      <c r="K193" s="44">
        <f t="shared" si="43"/>
        <v>-2.311976148956485E-2</v>
      </c>
    </row>
    <row r="194" spans="4:11" x14ac:dyDescent="0.3">
      <c r="D194" s="72"/>
      <c r="E194" s="68"/>
      <c r="F194" s="60">
        <f>SUM(F12+F18+F24+F30+F36+F42+F48+F54+F62+F67+F73+F79+F85+F91+F97+F103+F109+F115+F121+F127+F137+F145+F151+F154+F160+F166+F172+F179)</f>
        <v>2716.5999999999995</v>
      </c>
      <c r="G194" s="61" t="s">
        <v>72</v>
      </c>
      <c r="H194" s="8">
        <v>0.2</v>
      </c>
      <c r="I194" s="8">
        <f>J194/$F$194</f>
        <v>0.18608554811161013</v>
      </c>
      <c r="J194" s="8">
        <f>SUM(J13+J21+J27+J34+J40+J46+J51+J57+J65+J71+J76+J82+J88+J94+J100+J107+J113+J119+J124+J131+J137+J145+J163+J169+J176+J182)</f>
        <v>505.52</v>
      </c>
      <c r="K194" s="44">
        <f t="shared" si="43"/>
        <v>-6.9572259441949447E-2</v>
      </c>
    </row>
    <row r="195" spans="4:11" x14ac:dyDescent="0.3">
      <c r="D195" s="72"/>
      <c r="E195" s="68"/>
      <c r="F195" s="60">
        <f>SUM(F12+F18+F24+F30+F36+F42+F48+F54+F62+F67+F73+F79+F85+F91+F97+F103+F109+F115+F127+F139+F146+F153+F154+F160+F166+F172+F179)</f>
        <v>2650.5399999999995</v>
      </c>
      <c r="G195" s="61" t="s">
        <v>51</v>
      </c>
      <c r="H195" s="8">
        <v>0.3</v>
      </c>
      <c r="I195" s="8">
        <f>J195/$F$195</f>
        <v>0.30893327397435999</v>
      </c>
      <c r="J195" s="8">
        <f>SUM(J16+J22+J28+J35+J41+J47+J52+J58+J66+J72+J78+J84+J90+J95+J102+J108+J114+J120+J125+J132+J139+J146+J153+J158+J165+J171+J178+J184)</f>
        <v>818.84</v>
      </c>
      <c r="K195" s="44">
        <f t="shared" si="43"/>
        <v>2.9777579914533447E-2</v>
      </c>
    </row>
    <row r="196" spans="4:11" x14ac:dyDescent="0.3">
      <c r="D196" s="72"/>
      <c r="E196" s="68"/>
      <c r="F196" s="60">
        <f>SUM(F7+F12+F48+F61+F73+F79+F91+F121+F154)</f>
        <v>516.67000000000007</v>
      </c>
      <c r="G196" s="61" t="s">
        <v>71</v>
      </c>
      <c r="H196" s="8">
        <v>10</v>
      </c>
      <c r="I196" s="8">
        <f>J196/$F$196</f>
        <v>9.6257378984651698</v>
      </c>
      <c r="J196" s="8">
        <f>SUM(J11+J17+J53+J61+J77+J83+J96+J126+J159)</f>
        <v>4973.33</v>
      </c>
      <c r="K196" s="44">
        <f t="shared" si="43"/>
        <v>-3.7426210153483019E-2</v>
      </c>
    </row>
    <row r="197" spans="4:11" x14ac:dyDescent="0.3">
      <c r="D197" s="72"/>
      <c r="E197" s="68"/>
      <c r="F197" s="64">
        <f>SUM(F136+F142+F150+F174)</f>
        <v>252.3</v>
      </c>
      <c r="G197" s="65" t="s">
        <v>73</v>
      </c>
      <c r="H197" s="8">
        <v>0.3</v>
      </c>
      <c r="I197" s="8">
        <f>J197/$F$197</f>
        <v>0.29726516052318669</v>
      </c>
      <c r="J197" s="8">
        <f>SUM(J136+J142+J150+J174)</f>
        <v>75</v>
      </c>
      <c r="K197" s="44">
        <f t="shared" si="43"/>
        <v>-9.1161315893776296E-3</v>
      </c>
    </row>
    <row r="198" spans="4:11" x14ac:dyDescent="0.3">
      <c r="D198" s="72"/>
      <c r="E198" s="68"/>
      <c r="F198" s="60">
        <f>SUM(F12+F54+F91+F121+F154)</f>
        <v>286.2</v>
      </c>
      <c r="G198" s="61" t="s">
        <v>73</v>
      </c>
      <c r="H198" s="8">
        <v>0.11</v>
      </c>
      <c r="I198" s="8">
        <f>J198/$F$198</f>
        <v>0.11425576519916145</v>
      </c>
      <c r="J198" s="8">
        <f>SUM(J15+J55+J92+J122+J155)</f>
        <v>32.700000000000003</v>
      </c>
      <c r="K198" s="44">
        <f t="shared" si="43"/>
        <v>3.8688774537831261E-2</v>
      </c>
    </row>
    <row r="201" spans="4:11" x14ac:dyDescent="0.3">
      <c r="J201" s="8"/>
    </row>
  </sheetData>
  <mergeCells count="179">
    <mergeCell ref="B172:B178"/>
    <mergeCell ref="C172:C178"/>
    <mergeCell ref="L172:L178"/>
    <mergeCell ref="D172:D178"/>
    <mergeCell ref="E172:E178"/>
    <mergeCell ref="B179:B184"/>
    <mergeCell ref="C179:C184"/>
    <mergeCell ref="D179:D184"/>
    <mergeCell ref="E179:E184"/>
    <mergeCell ref="L179:L184"/>
    <mergeCell ref="F179:F184"/>
    <mergeCell ref="B160:B165"/>
    <mergeCell ref="C160:C165"/>
    <mergeCell ref="D160:D165"/>
    <mergeCell ref="E160:E165"/>
    <mergeCell ref="L160:L165"/>
    <mergeCell ref="F160:F165"/>
    <mergeCell ref="B166:B171"/>
    <mergeCell ref="C166:C171"/>
    <mergeCell ref="D166:D171"/>
    <mergeCell ref="E166:E171"/>
    <mergeCell ref="F166:F171"/>
    <mergeCell ref="L166:L171"/>
    <mergeCell ref="B147:B153"/>
    <mergeCell ref="C147:C153"/>
    <mergeCell ref="D147:D153"/>
    <mergeCell ref="E147:E153"/>
    <mergeCell ref="L147:L153"/>
    <mergeCell ref="B154:B159"/>
    <mergeCell ref="C154:C159"/>
    <mergeCell ref="D154:D159"/>
    <mergeCell ref="E154:E159"/>
    <mergeCell ref="F154:F159"/>
    <mergeCell ref="L154:L159"/>
    <mergeCell ref="B133:B139"/>
    <mergeCell ref="C133:C139"/>
    <mergeCell ref="D133:D139"/>
    <mergeCell ref="E133:E139"/>
    <mergeCell ref="L133:L139"/>
    <mergeCell ref="B140:B146"/>
    <mergeCell ref="C140:C146"/>
    <mergeCell ref="D140:D146"/>
    <mergeCell ref="E140:E146"/>
    <mergeCell ref="L140:L146"/>
    <mergeCell ref="B1:L1"/>
    <mergeCell ref="L54:L61"/>
    <mergeCell ref="B67:B72"/>
    <mergeCell ref="C67:C72"/>
    <mergeCell ref="D67:D72"/>
    <mergeCell ref="E67:E72"/>
    <mergeCell ref="F67:F72"/>
    <mergeCell ref="L67:L72"/>
    <mergeCell ref="B54:B61"/>
    <mergeCell ref="C54:C61"/>
    <mergeCell ref="D54:D61"/>
    <mergeCell ref="E54:E61"/>
    <mergeCell ref="L42:L47"/>
    <mergeCell ref="B48:B53"/>
    <mergeCell ref="C48:C53"/>
    <mergeCell ref="D48:D53"/>
    <mergeCell ref="E48:E53"/>
    <mergeCell ref="B42:B47"/>
    <mergeCell ref="B24:B29"/>
    <mergeCell ref="C24:C29"/>
    <mergeCell ref="D24:D29"/>
    <mergeCell ref="B103:B108"/>
    <mergeCell ref="C103:C108"/>
    <mergeCell ref="D103:D108"/>
    <mergeCell ref="E103:E108"/>
    <mergeCell ref="F103:F108"/>
    <mergeCell ref="L103:L108"/>
    <mergeCell ref="B36:B41"/>
    <mergeCell ref="C36:C41"/>
    <mergeCell ref="D36:D41"/>
    <mergeCell ref="E36:E41"/>
    <mergeCell ref="F36:F41"/>
    <mergeCell ref="L36:L41"/>
    <mergeCell ref="B30:B35"/>
    <mergeCell ref="C30:C35"/>
    <mergeCell ref="D30:D35"/>
    <mergeCell ref="E30:E35"/>
    <mergeCell ref="F30:F35"/>
    <mergeCell ref="B18:B23"/>
    <mergeCell ref="D18:D23"/>
    <mergeCell ref="E18:E23"/>
    <mergeCell ref="F18:F23"/>
    <mergeCell ref="F3:F6"/>
    <mergeCell ref="L3:L6"/>
    <mergeCell ref="B7:B11"/>
    <mergeCell ref="C7:C11"/>
    <mergeCell ref="D7:D11"/>
    <mergeCell ref="E7:E11"/>
    <mergeCell ref="F7:F11"/>
    <mergeCell ref="L7:L11"/>
    <mergeCell ref="B12:B17"/>
    <mergeCell ref="B3:B6"/>
    <mergeCell ref="C3:C6"/>
    <mergeCell ref="D3:D6"/>
    <mergeCell ref="E3:E6"/>
    <mergeCell ref="L12:L17"/>
    <mergeCell ref="B85:B90"/>
    <mergeCell ref="C85:C90"/>
    <mergeCell ref="D85:D90"/>
    <mergeCell ref="E85:E90"/>
    <mergeCell ref="F85:F90"/>
    <mergeCell ref="B62:B66"/>
    <mergeCell ref="C62:C66"/>
    <mergeCell ref="D62:D66"/>
    <mergeCell ref="E62:E66"/>
    <mergeCell ref="F62:F66"/>
    <mergeCell ref="C91:C96"/>
    <mergeCell ref="D91:D96"/>
    <mergeCell ref="E91:E96"/>
    <mergeCell ref="F91:F96"/>
    <mergeCell ref="L91:L96"/>
    <mergeCell ref="F12:F17"/>
    <mergeCell ref="E12:E17"/>
    <mergeCell ref="D12:D17"/>
    <mergeCell ref="C12:C17"/>
    <mergeCell ref="L18:L23"/>
    <mergeCell ref="C18:C23"/>
    <mergeCell ref="E24:E29"/>
    <mergeCell ref="F24:F29"/>
    <mergeCell ref="F48:F53"/>
    <mergeCell ref="L48:L53"/>
    <mergeCell ref="C42:C47"/>
    <mergeCell ref="D42:D47"/>
    <mergeCell ref="E42:E47"/>
    <mergeCell ref="F42:F47"/>
    <mergeCell ref="L24:L29"/>
    <mergeCell ref="L30:L35"/>
    <mergeCell ref="E115:E120"/>
    <mergeCell ref="F115:F120"/>
    <mergeCell ref="L115:L120"/>
    <mergeCell ref="L62:L66"/>
    <mergeCell ref="B79:B84"/>
    <mergeCell ref="C79:C84"/>
    <mergeCell ref="D79:D84"/>
    <mergeCell ref="L79:L84"/>
    <mergeCell ref="F79:F84"/>
    <mergeCell ref="E79:E84"/>
    <mergeCell ref="L97:L102"/>
    <mergeCell ref="B73:B78"/>
    <mergeCell ref="C73:C78"/>
    <mergeCell ref="D73:D78"/>
    <mergeCell ref="E73:E78"/>
    <mergeCell ref="F73:F78"/>
    <mergeCell ref="L73:L78"/>
    <mergeCell ref="B97:B102"/>
    <mergeCell ref="C97:C102"/>
    <mergeCell ref="D97:D102"/>
    <mergeCell ref="E97:E102"/>
    <mergeCell ref="F97:F102"/>
    <mergeCell ref="L85:L90"/>
    <mergeCell ref="B91:B96"/>
    <mergeCell ref="E189:E198"/>
    <mergeCell ref="F54:F58"/>
    <mergeCell ref="D188:D198"/>
    <mergeCell ref="B121:B126"/>
    <mergeCell ref="C121:C126"/>
    <mergeCell ref="D121:D126"/>
    <mergeCell ref="E121:E126"/>
    <mergeCell ref="F121:F126"/>
    <mergeCell ref="L121:L126"/>
    <mergeCell ref="B127:B132"/>
    <mergeCell ref="C127:C132"/>
    <mergeCell ref="D127:D132"/>
    <mergeCell ref="E127:E132"/>
    <mergeCell ref="F127:F132"/>
    <mergeCell ref="L127:L132"/>
    <mergeCell ref="B109:B114"/>
    <mergeCell ref="C109:C114"/>
    <mergeCell ref="D109:D114"/>
    <mergeCell ref="E109:E114"/>
    <mergeCell ref="F109:F114"/>
    <mergeCell ref="L109:L114"/>
    <mergeCell ref="B115:B120"/>
    <mergeCell ref="C115:C120"/>
    <mergeCell ref="D115:D120"/>
  </mergeCells>
  <conditionalFormatting sqref="K61 K3:K59 K160:K165 K179:K184">
    <cfRule type="cellIs" dxfId="68" priority="94" operator="lessThan">
      <formula>0</formula>
    </cfRule>
    <cfRule type="cellIs" dxfId="67" priority="96" operator="greaterThan">
      <formula>0</formula>
    </cfRule>
  </conditionalFormatting>
  <conditionalFormatting sqref="K7:K59 K61 K160:K165 K179:K184">
    <cfRule type="cellIs" dxfId="66" priority="95" operator="lessThan">
      <formula>0</formula>
    </cfRule>
  </conditionalFormatting>
  <conditionalFormatting sqref="K60">
    <cfRule type="cellIs" dxfId="65" priority="91" operator="lessThan">
      <formula>0</formula>
    </cfRule>
    <cfRule type="cellIs" dxfId="64" priority="93" operator="greaterThan">
      <formula>0</formula>
    </cfRule>
  </conditionalFormatting>
  <conditionalFormatting sqref="K60">
    <cfRule type="cellIs" dxfId="63" priority="92" operator="lessThan">
      <formula>0</formula>
    </cfRule>
  </conditionalFormatting>
  <conditionalFormatting sqref="K67:K72">
    <cfRule type="cellIs" dxfId="62" priority="88" operator="lessThan">
      <formula>0</formula>
    </cfRule>
    <cfRule type="cellIs" dxfId="61" priority="90" operator="greaterThan">
      <formula>0</formula>
    </cfRule>
  </conditionalFormatting>
  <conditionalFormatting sqref="K67:K72">
    <cfRule type="cellIs" dxfId="60" priority="89" operator="lessThan">
      <formula>0</formula>
    </cfRule>
  </conditionalFormatting>
  <conditionalFormatting sqref="K85:K90">
    <cfRule type="cellIs" dxfId="59" priority="85" operator="lessThan">
      <formula>0</formula>
    </cfRule>
    <cfRule type="cellIs" dxfId="58" priority="87" operator="greaterThan">
      <formula>0</formula>
    </cfRule>
  </conditionalFormatting>
  <conditionalFormatting sqref="K85:K90">
    <cfRule type="cellIs" dxfId="57" priority="86" operator="lessThan">
      <formula>0</formula>
    </cfRule>
  </conditionalFormatting>
  <conditionalFormatting sqref="K91">
    <cfRule type="cellIs" dxfId="56" priority="82" operator="lessThan">
      <formula>0</formula>
    </cfRule>
    <cfRule type="cellIs" dxfId="55" priority="84" operator="greaterThan">
      <formula>0</formula>
    </cfRule>
  </conditionalFormatting>
  <conditionalFormatting sqref="K91">
    <cfRule type="cellIs" dxfId="54" priority="83" operator="lessThan">
      <formula>0</formula>
    </cfRule>
  </conditionalFormatting>
  <conditionalFormatting sqref="K97:K102">
    <cfRule type="cellIs" dxfId="53" priority="79" operator="lessThan">
      <formula>0</formula>
    </cfRule>
    <cfRule type="cellIs" dxfId="52" priority="81" operator="greaterThan">
      <formula>0</formula>
    </cfRule>
  </conditionalFormatting>
  <conditionalFormatting sqref="K97:K102">
    <cfRule type="cellIs" dxfId="51" priority="80" operator="lessThan">
      <formula>0</formula>
    </cfRule>
  </conditionalFormatting>
  <conditionalFormatting sqref="K73:K84">
    <cfRule type="cellIs" dxfId="50" priority="76" operator="lessThan">
      <formula>0</formula>
    </cfRule>
    <cfRule type="cellIs" dxfId="49" priority="78" operator="greaterThan">
      <formula>0</formula>
    </cfRule>
  </conditionalFormatting>
  <conditionalFormatting sqref="K73:K84">
    <cfRule type="cellIs" dxfId="48" priority="77" operator="lessThan">
      <formula>0</formula>
    </cfRule>
  </conditionalFormatting>
  <conditionalFormatting sqref="K62:K66">
    <cfRule type="cellIs" dxfId="47" priority="73" operator="lessThan">
      <formula>0</formula>
    </cfRule>
    <cfRule type="cellIs" dxfId="46" priority="75" operator="greaterThan">
      <formula>0</formula>
    </cfRule>
  </conditionalFormatting>
  <conditionalFormatting sqref="K62:K66">
    <cfRule type="cellIs" dxfId="45" priority="74" operator="lessThan">
      <formula>0</formula>
    </cfRule>
  </conditionalFormatting>
  <conditionalFormatting sqref="K92:K96">
    <cfRule type="cellIs" dxfId="44" priority="67" operator="lessThan">
      <formula>0</formula>
    </cfRule>
    <cfRule type="cellIs" dxfId="43" priority="69" operator="greaterThan">
      <formula>0</formula>
    </cfRule>
  </conditionalFormatting>
  <conditionalFormatting sqref="K92:K96">
    <cfRule type="cellIs" dxfId="42" priority="68" operator="lessThan">
      <formula>0</formula>
    </cfRule>
  </conditionalFormatting>
  <conditionalFormatting sqref="K103:K108">
    <cfRule type="cellIs" dxfId="41" priority="64" operator="lessThan">
      <formula>0</formula>
    </cfRule>
    <cfRule type="cellIs" dxfId="40" priority="66" operator="greaterThan">
      <formula>0</formula>
    </cfRule>
  </conditionalFormatting>
  <conditionalFormatting sqref="K103:K108">
    <cfRule type="cellIs" dxfId="39" priority="65" operator="lessThan">
      <formula>0</formula>
    </cfRule>
  </conditionalFormatting>
  <conditionalFormatting sqref="K109:K114">
    <cfRule type="cellIs" dxfId="38" priority="61" operator="lessThan">
      <formula>0</formula>
    </cfRule>
    <cfRule type="cellIs" dxfId="37" priority="63" operator="greaterThan">
      <formula>0</formula>
    </cfRule>
  </conditionalFormatting>
  <conditionalFormatting sqref="K109:K114">
    <cfRule type="cellIs" dxfId="36" priority="62" operator="lessThan">
      <formula>0</formula>
    </cfRule>
  </conditionalFormatting>
  <conditionalFormatting sqref="K189:K198">
    <cfRule type="cellIs" dxfId="35" priority="31" operator="lessThan">
      <formula>0</formula>
    </cfRule>
    <cfRule type="cellIs" dxfId="34" priority="33" operator="greaterThan">
      <formula>0</formula>
    </cfRule>
  </conditionalFormatting>
  <conditionalFormatting sqref="K189:K198">
    <cfRule type="cellIs" dxfId="33" priority="32" operator="lessThan">
      <formula>0</formula>
    </cfRule>
  </conditionalFormatting>
  <conditionalFormatting sqref="K115:K120">
    <cfRule type="cellIs" dxfId="32" priority="55" operator="lessThan">
      <formula>0</formula>
    </cfRule>
    <cfRule type="cellIs" dxfId="31" priority="57" operator="greaterThan">
      <formula>0</formula>
    </cfRule>
  </conditionalFormatting>
  <conditionalFormatting sqref="K115:K120">
    <cfRule type="cellIs" dxfId="30" priority="56" operator="lessThan">
      <formula>0</formula>
    </cfRule>
  </conditionalFormatting>
  <conditionalFormatting sqref="K121">
    <cfRule type="cellIs" dxfId="29" priority="49" operator="lessThan">
      <formula>0</formula>
    </cfRule>
    <cfRule type="cellIs" dxfId="28" priority="51" operator="greaterThan">
      <formula>0</formula>
    </cfRule>
  </conditionalFormatting>
  <conditionalFormatting sqref="K121">
    <cfRule type="cellIs" dxfId="27" priority="50" operator="lessThan">
      <formula>0</formula>
    </cfRule>
  </conditionalFormatting>
  <conditionalFormatting sqref="K122:K126">
    <cfRule type="cellIs" dxfId="26" priority="46" operator="lessThan">
      <formula>0</formula>
    </cfRule>
    <cfRule type="cellIs" dxfId="25" priority="48" operator="greaterThan">
      <formula>0</formula>
    </cfRule>
  </conditionalFormatting>
  <conditionalFormatting sqref="K122:K126">
    <cfRule type="cellIs" dxfId="24" priority="47" operator="lessThan">
      <formula>0</formula>
    </cfRule>
  </conditionalFormatting>
  <conditionalFormatting sqref="K127:K132">
    <cfRule type="cellIs" dxfId="23" priority="43" operator="lessThan">
      <formula>0</formula>
    </cfRule>
    <cfRule type="cellIs" dxfId="22" priority="45" operator="greaterThan">
      <formula>0</formula>
    </cfRule>
  </conditionalFormatting>
  <conditionalFormatting sqref="K127:K132">
    <cfRule type="cellIs" dxfId="21" priority="44" operator="lessThan">
      <formula>0</formula>
    </cfRule>
  </conditionalFormatting>
  <conditionalFormatting sqref="K133:K139">
    <cfRule type="cellIs" dxfId="20" priority="28" operator="lessThan">
      <formula>0</formula>
    </cfRule>
    <cfRule type="cellIs" dxfId="19" priority="30" operator="greaterThan">
      <formula>0</formula>
    </cfRule>
  </conditionalFormatting>
  <conditionalFormatting sqref="K133:K139">
    <cfRule type="cellIs" dxfId="18" priority="29" operator="lessThan">
      <formula>0</formula>
    </cfRule>
  </conditionalFormatting>
  <conditionalFormatting sqref="K140:K146">
    <cfRule type="cellIs" dxfId="17" priority="22" operator="lessThan">
      <formula>0</formula>
    </cfRule>
    <cfRule type="cellIs" dxfId="16" priority="24" operator="greaterThan">
      <formula>0</formula>
    </cfRule>
  </conditionalFormatting>
  <conditionalFormatting sqref="K140:K146">
    <cfRule type="cellIs" dxfId="15" priority="23" operator="lessThan">
      <formula>0</formula>
    </cfRule>
  </conditionalFormatting>
  <conditionalFormatting sqref="K147:K153">
    <cfRule type="cellIs" dxfId="14" priority="19" operator="lessThan">
      <formula>0</formula>
    </cfRule>
    <cfRule type="cellIs" dxfId="13" priority="21" operator="greaterThan">
      <formula>0</formula>
    </cfRule>
  </conditionalFormatting>
  <conditionalFormatting sqref="K147:K153">
    <cfRule type="cellIs" dxfId="12" priority="20" operator="lessThan">
      <formula>0</formula>
    </cfRule>
  </conditionalFormatting>
  <conditionalFormatting sqref="K155:K159">
    <cfRule type="cellIs" dxfId="11" priority="13" operator="lessThan">
      <formula>0</formula>
    </cfRule>
    <cfRule type="cellIs" dxfId="10" priority="15" operator="greaterThan">
      <formula>0</formula>
    </cfRule>
  </conditionalFormatting>
  <conditionalFormatting sqref="K155:K159">
    <cfRule type="cellIs" dxfId="9" priority="14" operator="lessThan">
      <formula>0</formula>
    </cfRule>
  </conditionalFormatting>
  <conditionalFormatting sqref="K154">
    <cfRule type="cellIs" dxfId="8" priority="16" operator="lessThan">
      <formula>0</formula>
    </cfRule>
    <cfRule type="cellIs" dxfId="7" priority="18" operator="greaterThan">
      <formula>0</formula>
    </cfRule>
  </conditionalFormatting>
  <conditionalFormatting sqref="K154">
    <cfRule type="cellIs" dxfId="6" priority="17" operator="lessThan">
      <formula>0</formula>
    </cfRule>
  </conditionalFormatting>
  <conditionalFormatting sqref="K166:K171">
    <cfRule type="cellIs" dxfId="5" priority="7" operator="lessThan">
      <formula>0</formula>
    </cfRule>
    <cfRule type="cellIs" dxfId="4" priority="9" operator="greaterThan">
      <formula>0</formula>
    </cfRule>
  </conditionalFormatting>
  <conditionalFormatting sqref="K166:K171">
    <cfRule type="cellIs" dxfId="3" priority="8" operator="lessThan">
      <formula>0</formula>
    </cfRule>
  </conditionalFormatting>
  <conditionalFormatting sqref="K172:K178">
    <cfRule type="cellIs" dxfId="2" priority="4" operator="lessThan">
      <formula>0</formula>
    </cfRule>
    <cfRule type="cellIs" dxfId="1" priority="6" operator="greaterThan">
      <formula>0</formula>
    </cfRule>
  </conditionalFormatting>
  <conditionalFormatting sqref="K172:K178">
    <cfRule type="cellIs" dxfId="0" priority="5" operator="lessThan">
      <formula>0</formula>
    </cfRule>
  </conditionalFormatting>
  <pageMargins left="0.25" right="0.25" top="0.75" bottom="0.75" header="0.3" footer="0.3"/>
  <pageSetup paperSize="9" scale="84" fitToHeight="0" orientation="landscape" horizontalDpi="0" verticalDpi="0" r:id="rId1"/>
  <ignoredErrors>
    <ignoredError sqref="B12 B3 B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FE18-2294-456E-A31A-23C623AC78F6}">
  <sheetPr>
    <pageSetUpPr fitToPage="1"/>
  </sheetPr>
  <dimension ref="B2:M22"/>
  <sheetViews>
    <sheetView zoomScale="85" zoomScaleNormal="85" workbookViewId="0">
      <selection activeCell="O20" sqref="O20"/>
    </sheetView>
  </sheetViews>
  <sheetFormatPr defaultRowHeight="14.4" x14ac:dyDescent="0.3"/>
  <cols>
    <col min="1" max="1" width="3.77734375" customWidth="1"/>
    <col min="3" max="3" width="12.109375" bestFit="1" customWidth="1"/>
    <col min="4" max="5" width="14.109375" bestFit="1" customWidth="1"/>
    <col min="6" max="6" width="10" bestFit="1" customWidth="1"/>
    <col min="7" max="7" width="13.5546875" customWidth="1"/>
    <col min="8" max="8" width="12.109375" bestFit="1" customWidth="1"/>
    <col min="9" max="9" width="11.33203125" bestFit="1" customWidth="1"/>
    <col min="10" max="10" width="10.33203125" customWidth="1"/>
    <col min="11" max="11" width="18" customWidth="1"/>
    <col min="12" max="12" width="2.77734375" customWidth="1"/>
    <col min="13" max="13" width="13.33203125" customWidth="1"/>
    <col min="14" max="14" width="11.88671875" bestFit="1" customWidth="1"/>
    <col min="15" max="15" width="13.5546875" bestFit="1" customWidth="1"/>
    <col min="16" max="16" width="14" customWidth="1"/>
    <col min="17" max="17" width="5.109375" bestFit="1" customWidth="1"/>
    <col min="18" max="18" width="11.88671875" bestFit="1" customWidth="1"/>
    <col min="19" max="19" width="11.33203125" bestFit="1" customWidth="1"/>
    <col min="20" max="20" width="12.6640625" bestFit="1" customWidth="1"/>
    <col min="21" max="21" width="31.21875" bestFit="1" customWidth="1"/>
  </cols>
  <sheetData>
    <row r="2" spans="2:11" ht="15" thickBot="1" x14ac:dyDescent="0.35">
      <c r="J2" t="s">
        <v>68</v>
      </c>
      <c r="K2" s="31">
        <v>45728</v>
      </c>
    </row>
    <row r="3" spans="2:11" ht="21.6" thickBot="1" x14ac:dyDescent="0.35">
      <c r="B3" s="83" t="s">
        <v>45</v>
      </c>
      <c r="C3" s="84"/>
      <c r="D3" s="84"/>
      <c r="E3" s="84"/>
      <c r="F3" s="84"/>
      <c r="G3" s="84"/>
      <c r="H3" s="84"/>
      <c r="I3" s="84"/>
      <c r="J3" s="84"/>
      <c r="K3" s="85"/>
    </row>
    <row r="4" spans="2:11" ht="28.8" x14ac:dyDescent="0.3">
      <c r="B4" s="3" t="s">
        <v>30</v>
      </c>
      <c r="C4" s="4" t="s">
        <v>3</v>
      </c>
      <c r="D4" s="4" t="s">
        <v>4</v>
      </c>
      <c r="E4" s="4" t="s">
        <v>17</v>
      </c>
      <c r="F4" s="4" t="s">
        <v>47</v>
      </c>
      <c r="G4" s="4" t="s">
        <v>10</v>
      </c>
      <c r="H4" s="4" t="s">
        <v>16</v>
      </c>
      <c r="I4" s="37" t="s">
        <v>18</v>
      </c>
      <c r="J4" s="4" t="s">
        <v>11</v>
      </c>
      <c r="K4" s="21" t="s">
        <v>20</v>
      </c>
    </row>
    <row r="5" spans="2:11" x14ac:dyDescent="0.3">
      <c r="B5" s="5" t="s">
        <v>43</v>
      </c>
      <c r="C5" s="6" t="s">
        <v>46</v>
      </c>
      <c r="D5" s="7">
        <v>147.52000000000001</v>
      </c>
      <c r="E5" s="7">
        <v>147.52000000000001</v>
      </c>
      <c r="F5" s="7" t="s">
        <v>48</v>
      </c>
      <c r="G5" s="8">
        <v>0.5</v>
      </c>
      <c r="H5" s="8">
        <f>I5/E5</f>
        <v>0.54229934924078083</v>
      </c>
      <c r="I5" s="38">
        <v>80</v>
      </c>
      <c r="J5" s="20">
        <f>H5/G5-1</f>
        <v>8.4598698481561652E-2</v>
      </c>
      <c r="K5" s="27">
        <v>4009</v>
      </c>
    </row>
    <row r="6" spans="2:11" x14ac:dyDescent="0.3">
      <c r="B6" s="5" t="s">
        <v>43</v>
      </c>
      <c r="C6" s="6" t="s">
        <v>46</v>
      </c>
      <c r="D6" s="7">
        <v>147.52000000000001</v>
      </c>
      <c r="E6" s="7">
        <v>147.52000000000001</v>
      </c>
      <c r="F6" s="7" t="s">
        <v>49</v>
      </c>
      <c r="G6" s="8">
        <v>0.5</v>
      </c>
      <c r="H6" s="8">
        <f t="shared" ref="H6:H9" si="0">I6/E6</f>
        <v>0.52196312364425157</v>
      </c>
      <c r="I6" s="38">
        <v>77</v>
      </c>
      <c r="J6" s="20">
        <f t="shared" ref="J6:J9" si="1">H6/G6-1</f>
        <v>4.392624728850314E-2</v>
      </c>
      <c r="K6" s="27">
        <v>4009</v>
      </c>
    </row>
    <row r="7" spans="2:11" x14ac:dyDescent="0.3">
      <c r="B7" s="5" t="s">
        <v>43</v>
      </c>
      <c r="C7" s="6" t="s">
        <v>46</v>
      </c>
      <c r="D7" s="7">
        <v>147.52000000000001</v>
      </c>
      <c r="E7" s="7">
        <v>147.52000000000001</v>
      </c>
      <c r="F7" s="7" t="s">
        <v>50</v>
      </c>
      <c r="G7" s="8">
        <v>0.2</v>
      </c>
      <c r="H7" s="8">
        <f t="shared" si="0"/>
        <v>0.20336225596529284</v>
      </c>
      <c r="I7" s="38">
        <v>30</v>
      </c>
      <c r="J7" s="20">
        <f t="shared" si="1"/>
        <v>1.6811279826464132E-2</v>
      </c>
      <c r="K7" s="27">
        <v>4009</v>
      </c>
    </row>
    <row r="8" spans="2:11" x14ac:dyDescent="0.3">
      <c r="B8" s="5" t="s">
        <v>43</v>
      </c>
      <c r="C8" s="6" t="s">
        <v>46</v>
      </c>
      <c r="D8" s="7">
        <v>147.52000000000001</v>
      </c>
      <c r="E8" s="7">
        <v>147.52000000000001</v>
      </c>
      <c r="F8" s="7" t="s">
        <v>51</v>
      </c>
      <c r="G8" s="8">
        <v>0.3</v>
      </c>
      <c r="H8" s="8">
        <f t="shared" si="0"/>
        <v>0.32537960954446854</v>
      </c>
      <c r="I8" s="38">
        <v>48</v>
      </c>
      <c r="J8" s="20">
        <f t="shared" si="1"/>
        <v>8.4598698481561874E-2</v>
      </c>
      <c r="K8" s="27">
        <v>4009</v>
      </c>
    </row>
    <row r="9" spans="2:11" ht="15" thickBot="1" x14ac:dyDescent="0.35">
      <c r="B9" s="28" t="s">
        <v>43</v>
      </c>
      <c r="C9" s="29" t="s">
        <v>46</v>
      </c>
      <c r="D9" s="30">
        <v>147.52000000000001</v>
      </c>
      <c r="E9" s="30">
        <v>147.52000000000001</v>
      </c>
      <c r="F9" s="30" t="s">
        <v>52</v>
      </c>
      <c r="G9" s="39">
        <v>0.25</v>
      </c>
      <c r="H9" s="39">
        <f t="shared" si="0"/>
        <v>0.27114967462039041</v>
      </c>
      <c r="I9" s="40">
        <v>40</v>
      </c>
      <c r="J9" s="41">
        <f t="shared" si="1"/>
        <v>8.4598698481561652E-2</v>
      </c>
      <c r="K9" s="42">
        <v>4009</v>
      </c>
    </row>
    <row r="10" spans="2:1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2:11" x14ac:dyDescent="0.3"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spans="2:11" x14ac:dyDescent="0.3"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2:11" ht="15" thickBot="1" x14ac:dyDescent="0.35"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spans="2:11" ht="21.6" thickBot="1" x14ac:dyDescent="0.35">
      <c r="B14" s="83" t="s">
        <v>65</v>
      </c>
      <c r="C14" s="84"/>
      <c r="D14" s="84"/>
      <c r="E14" s="84"/>
      <c r="F14" s="84"/>
      <c r="G14" s="84"/>
      <c r="H14" s="84"/>
      <c r="I14" s="84"/>
      <c r="J14" s="84"/>
      <c r="K14" s="85"/>
    </row>
    <row r="15" spans="2:11" ht="43.8" thickBot="1" x14ac:dyDescent="0.35">
      <c r="B15" s="35" t="s">
        <v>30</v>
      </c>
      <c r="C15" s="32" t="s">
        <v>3</v>
      </c>
      <c r="D15" s="32" t="s">
        <v>55</v>
      </c>
      <c r="E15" s="32" t="s">
        <v>53</v>
      </c>
      <c r="F15" s="32" t="s">
        <v>30</v>
      </c>
      <c r="G15" s="32" t="s">
        <v>3</v>
      </c>
      <c r="H15" s="32" t="s">
        <v>63</v>
      </c>
      <c r="I15" s="32" t="s">
        <v>54</v>
      </c>
      <c r="J15" s="89" t="s">
        <v>81</v>
      </c>
      <c r="K15" s="90"/>
    </row>
    <row r="16" spans="2:11" ht="15" thickBot="1" x14ac:dyDescent="0.35">
      <c r="B16" s="80" t="s">
        <v>56</v>
      </c>
      <c r="C16" s="81"/>
      <c r="D16" s="81"/>
      <c r="E16" s="82"/>
      <c r="F16" s="80" t="s">
        <v>57</v>
      </c>
      <c r="G16" s="81"/>
      <c r="H16" s="81"/>
      <c r="I16" s="81"/>
      <c r="J16" s="81"/>
      <c r="K16" s="82"/>
    </row>
    <row r="17" spans="2:13" x14ac:dyDescent="0.3">
      <c r="B17" s="36" t="s">
        <v>58</v>
      </c>
      <c r="C17" s="33" t="s">
        <v>59</v>
      </c>
      <c r="D17" s="34" t="s">
        <v>60</v>
      </c>
      <c r="E17" s="34"/>
      <c r="F17" s="33" t="s">
        <v>43</v>
      </c>
      <c r="G17" s="33" t="s">
        <v>46</v>
      </c>
      <c r="H17" s="34">
        <v>67.97</v>
      </c>
      <c r="I17" s="34">
        <v>15.02</v>
      </c>
      <c r="J17" s="71">
        <v>1020.91</v>
      </c>
      <c r="K17" s="91"/>
    </row>
    <row r="18" spans="2:13" x14ac:dyDescent="0.3">
      <c r="B18" s="5" t="s">
        <v>58</v>
      </c>
      <c r="C18" s="6" t="s">
        <v>59</v>
      </c>
      <c r="D18" s="7" t="s">
        <v>61</v>
      </c>
      <c r="E18" s="7"/>
      <c r="F18" s="6" t="s">
        <v>43</v>
      </c>
      <c r="G18" s="6" t="s">
        <v>46</v>
      </c>
      <c r="H18" s="7">
        <v>11.35</v>
      </c>
      <c r="I18" s="7">
        <v>14.15</v>
      </c>
      <c r="J18" s="68">
        <v>160.6</v>
      </c>
      <c r="K18" s="92"/>
    </row>
    <row r="19" spans="2:13" x14ac:dyDescent="0.3">
      <c r="B19" s="5" t="s">
        <v>58</v>
      </c>
      <c r="C19" s="6" t="s">
        <v>59</v>
      </c>
      <c r="D19" s="7" t="s">
        <v>62</v>
      </c>
      <c r="E19" s="7"/>
      <c r="F19" s="6" t="s">
        <v>43</v>
      </c>
      <c r="G19" s="6" t="s">
        <v>46</v>
      </c>
      <c r="H19" s="7">
        <v>20.52</v>
      </c>
      <c r="I19" s="7">
        <v>14.42</v>
      </c>
      <c r="J19" s="68">
        <v>295.98</v>
      </c>
      <c r="K19" s="92"/>
    </row>
    <row r="20" spans="2:13" ht="15" thickBot="1" x14ac:dyDescent="0.35"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spans="2:13" ht="15" thickBot="1" x14ac:dyDescent="0.35">
      <c r="B21" s="43"/>
      <c r="C21" s="43"/>
      <c r="D21" s="43"/>
      <c r="E21" s="43"/>
      <c r="F21" s="43"/>
      <c r="G21" s="43"/>
      <c r="H21" s="43"/>
      <c r="I21" s="43"/>
      <c r="J21" s="49" t="s">
        <v>66</v>
      </c>
      <c r="K21" s="46" t="s">
        <v>67</v>
      </c>
      <c r="L21" s="78" t="s">
        <v>82</v>
      </c>
      <c r="M21" s="78"/>
    </row>
    <row r="22" spans="2:13" ht="15" thickBot="1" x14ac:dyDescent="0.35">
      <c r="B22" s="86" t="s">
        <v>64</v>
      </c>
      <c r="C22" s="87"/>
      <c r="D22" s="87"/>
      <c r="E22" s="87"/>
      <c r="F22" s="87"/>
      <c r="G22" s="87"/>
      <c r="H22" s="87"/>
      <c r="I22" s="88"/>
      <c r="J22" s="50">
        <f>H17+H18+H19</f>
        <v>99.839999999999989</v>
      </c>
      <c r="K22" s="51">
        <v>14.8</v>
      </c>
      <c r="L22" s="79">
        <v>1477.49</v>
      </c>
      <c r="M22" s="79"/>
    </row>
  </sheetData>
  <mergeCells count="11">
    <mergeCell ref="B3:K3"/>
    <mergeCell ref="F16:K16"/>
    <mergeCell ref="J17:K17"/>
    <mergeCell ref="J18:K18"/>
    <mergeCell ref="J19:K19"/>
    <mergeCell ref="L21:M21"/>
    <mergeCell ref="L22:M22"/>
    <mergeCell ref="B16:E16"/>
    <mergeCell ref="B14:K14"/>
    <mergeCell ref="B22:I22"/>
    <mergeCell ref="J15:K15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  <ignoredErrors>
    <ignoredError sqref="B5:B9 B17:B1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45C4-6842-42F2-BF99-40593597C6D2}">
  <dimension ref="B1:M19"/>
  <sheetViews>
    <sheetView workbookViewId="0">
      <selection activeCell="L14" sqref="L14"/>
    </sheetView>
  </sheetViews>
  <sheetFormatPr defaultRowHeight="14.4" x14ac:dyDescent="0.3"/>
  <cols>
    <col min="2" max="2" width="5" bestFit="1" customWidth="1"/>
    <col min="3" max="3" width="23.33203125" bestFit="1" customWidth="1"/>
    <col min="4" max="4" width="13.5546875" bestFit="1" customWidth="1"/>
    <col min="5" max="5" width="8.5546875" bestFit="1" customWidth="1"/>
    <col min="6" max="6" width="16.77734375" bestFit="1" customWidth="1"/>
    <col min="7" max="7" width="19.6640625" bestFit="1" customWidth="1"/>
    <col min="8" max="8" width="8" bestFit="1" customWidth="1"/>
    <col min="10" max="10" width="7.33203125" bestFit="1" customWidth="1"/>
    <col min="11" max="11" width="11.21875" bestFit="1" customWidth="1"/>
  </cols>
  <sheetData>
    <row r="1" spans="2:11" ht="15" thickBot="1" x14ac:dyDescent="0.35"/>
    <row r="2" spans="2:11" ht="21.6" thickBot="1" x14ac:dyDescent="0.35">
      <c r="B2" s="83" t="s">
        <v>45</v>
      </c>
      <c r="C2" s="84"/>
      <c r="D2" s="84"/>
      <c r="E2" s="84"/>
      <c r="F2" s="84"/>
      <c r="G2" s="84"/>
      <c r="H2" s="84"/>
      <c r="I2" s="84"/>
      <c r="J2" s="84"/>
      <c r="K2" s="85"/>
    </row>
    <row r="3" spans="2:11" ht="43.2" x14ac:dyDescent="0.3">
      <c r="B3" s="3" t="s">
        <v>30</v>
      </c>
      <c r="C3" s="4" t="s">
        <v>3</v>
      </c>
      <c r="D3" s="4" t="s">
        <v>96</v>
      </c>
      <c r="E3" s="4" t="s">
        <v>17</v>
      </c>
      <c r="F3" s="4" t="s">
        <v>47</v>
      </c>
      <c r="G3" s="4" t="s">
        <v>10</v>
      </c>
      <c r="H3" s="4" t="s">
        <v>16</v>
      </c>
      <c r="I3" s="37" t="s">
        <v>18</v>
      </c>
      <c r="J3" s="4" t="s">
        <v>11</v>
      </c>
      <c r="K3" s="21" t="s">
        <v>20</v>
      </c>
    </row>
    <row r="4" spans="2:11" x14ac:dyDescent="0.3">
      <c r="B4" s="5" t="s">
        <v>94</v>
      </c>
      <c r="C4" s="57" t="s">
        <v>95</v>
      </c>
      <c r="D4" s="56">
        <v>16.600000000000001</v>
      </c>
      <c r="E4" s="60">
        <v>16.600000000000001</v>
      </c>
      <c r="F4" s="56" t="s">
        <v>48</v>
      </c>
      <c r="G4" s="8">
        <v>0.5</v>
      </c>
      <c r="H4" s="8">
        <f>I4/E4</f>
        <v>0.54216867469879515</v>
      </c>
      <c r="I4" s="60">
        <v>9</v>
      </c>
      <c r="J4" s="20">
        <f>H4/G4-1</f>
        <v>8.43373493975903E-2</v>
      </c>
      <c r="K4" s="59">
        <v>4001</v>
      </c>
    </row>
    <row r="5" spans="2:11" x14ac:dyDescent="0.3">
      <c r="B5" s="5" t="s">
        <v>94</v>
      </c>
      <c r="C5" s="57" t="s">
        <v>95</v>
      </c>
      <c r="D5" s="56">
        <v>16.600000000000001</v>
      </c>
      <c r="E5" s="60">
        <v>16.600000000000001</v>
      </c>
      <c r="F5" s="56" t="s">
        <v>49</v>
      </c>
      <c r="G5" s="8">
        <v>0.5</v>
      </c>
      <c r="H5" s="8">
        <f t="shared" ref="H5:H8" si="0">I5/E5</f>
        <v>0.52409638554216864</v>
      </c>
      <c r="I5" s="38">
        <v>8.6999999999999993</v>
      </c>
      <c r="J5" s="20">
        <f t="shared" ref="J5:J8" si="1">H5/G5-1</f>
        <v>4.8192771084337283E-2</v>
      </c>
      <c r="K5" s="59">
        <v>4001</v>
      </c>
    </row>
    <row r="6" spans="2:11" x14ac:dyDescent="0.3">
      <c r="B6" s="5" t="s">
        <v>94</v>
      </c>
      <c r="C6" s="57" t="s">
        <v>95</v>
      </c>
      <c r="D6" s="56">
        <v>16.600000000000001</v>
      </c>
      <c r="E6" s="60">
        <v>16.600000000000001</v>
      </c>
      <c r="F6" s="56" t="s">
        <v>50</v>
      </c>
      <c r="G6" s="8">
        <v>0.2</v>
      </c>
      <c r="H6" s="8">
        <f t="shared" si="0"/>
        <v>0.21084337349397589</v>
      </c>
      <c r="I6" s="38">
        <v>3.5</v>
      </c>
      <c r="J6" s="20">
        <f t="shared" si="1"/>
        <v>5.4216867469879304E-2</v>
      </c>
      <c r="K6" s="59">
        <v>4001</v>
      </c>
    </row>
    <row r="7" spans="2:11" x14ac:dyDescent="0.3">
      <c r="B7" s="5" t="s">
        <v>94</v>
      </c>
      <c r="C7" s="57" t="s">
        <v>95</v>
      </c>
      <c r="D7" s="56">
        <v>16.600000000000001</v>
      </c>
      <c r="E7" s="60">
        <v>16.600000000000001</v>
      </c>
      <c r="F7" s="56" t="s">
        <v>51</v>
      </c>
      <c r="G7" s="8">
        <v>0.3</v>
      </c>
      <c r="H7" s="8">
        <f t="shared" si="0"/>
        <v>0.3012048192771084</v>
      </c>
      <c r="I7" s="38">
        <v>5</v>
      </c>
      <c r="J7" s="20">
        <f t="shared" si="1"/>
        <v>4.0160642570281624E-3</v>
      </c>
      <c r="K7" s="59">
        <v>4001</v>
      </c>
    </row>
    <row r="8" spans="2:11" ht="15" thickBot="1" x14ac:dyDescent="0.35">
      <c r="B8" s="5" t="s">
        <v>94</v>
      </c>
      <c r="C8" s="57" t="s">
        <v>95</v>
      </c>
      <c r="D8" s="56">
        <v>16.600000000000001</v>
      </c>
      <c r="E8" s="60">
        <v>16.600000000000001</v>
      </c>
      <c r="F8" s="61" t="s">
        <v>102</v>
      </c>
      <c r="G8" s="8">
        <v>0.25</v>
      </c>
      <c r="H8" s="39">
        <f t="shared" si="0"/>
        <v>0.2590361445783132</v>
      </c>
      <c r="I8" s="40">
        <v>4.3</v>
      </c>
      <c r="J8" s="41">
        <f t="shared" si="1"/>
        <v>3.6144578313252795E-2</v>
      </c>
      <c r="K8" s="59">
        <v>4001</v>
      </c>
    </row>
    <row r="9" spans="2:11" ht="15" thickBot="1" x14ac:dyDescent="0.35">
      <c r="B9" s="5" t="s">
        <v>94</v>
      </c>
      <c r="C9" s="61" t="s">
        <v>95</v>
      </c>
      <c r="D9" s="60">
        <v>16.600000000000001</v>
      </c>
      <c r="E9" s="60">
        <v>16.600000000000001</v>
      </c>
      <c r="F9" s="30" t="s">
        <v>74</v>
      </c>
      <c r="G9" s="39">
        <v>0.15</v>
      </c>
      <c r="H9" s="39">
        <f t="shared" ref="H9" si="2">I9/E9</f>
        <v>0.15662650602409639</v>
      </c>
      <c r="I9" s="40">
        <v>2.6</v>
      </c>
      <c r="J9" s="41">
        <f t="shared" ref="J9" si="3">H9/G9-1</f>
        <v>4.4176706827309342E-2</v>
      </c>
      <c r="K9" s="62">
        <v>4001</v>
      </c>
    </row>
    <row r="10" spans="2:11" x14ac:dyDescent="0.3"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 spans="2:11" x14ac:dyDescent="0.3"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 spans="2:11" ht="15" thickBot="1" x14ac:dyDescent="0.35"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 spans="2:11" ht="21.6" thickBot="1" x14ac:dyDescent="0.35">
      <c r="B13" s="83" t="s">
        <v>65</v>
      </c>
      <c r="C13" s="84"/>
      <c r="D13" s="84"/>
      <c r="E13" s="84"/>
      <c r="F13" s="84"/>
      <c r="G13" s="84"/>
      <c r="H13" s="84"/>
      <c r="I13" s="84"/>
      <c r="J13" s="84"/>
      <c r="K13" s="85"/>
    </row>
    <row r="14" spans="2:11" ht="58.2" customHeight="1" thickBot="1" x14ac:dyDescent="0.35">
      <c r="B14" s="35" t="s">
        <v>30</v>
      </c>
      <c r="C14" s="32" t="s">
        <v>3</v>
      </c>
      <c r="D14" s="32" t="s">
        <v>55</v>
      </c>
      <c r="E14" s="32" t="s">
        <v>53</v>
      </c>
      <c r="F14" s="32" t="s">
        <v>30</v>
      </c>
      <c r="G14" s="32" t="s">
        <v>3</v>
      </c>
      <c r="H14" s="32" t="s">
        <v>63</v>
      </c>
      <c r="I14" s="32" t="s">
        <v>54</v>
      </c>
      <c r="J14" s="89" t="s">
        <v>81</v>
      </c>
      <c r="K14" s="90"/>
    </row>
    <row r="15" spans="2:11" ht="15" thickBot="1" x14ac:dyDescent="0.35">
      <c r="B15" s="80" t="s">
        <v>56</v>
      </c>
      <c r="C15" s="81"/>
      <c r="D15" s="81"/>
      <c r="E15" s="82"/>
      <c r="F15" s="80" t="s">
        <v>57</v>
      </c>
      <c r="G15" s="81"/>
      <c r="H15" s="81"/>
      <c r="I15" s="81"/>
      <c r="J15" s="81"/>
      <c r="K15" s="82"/>
    </row>
    <row r="16" spans="2:11" x14ac:dyDescent="0.3">
      <c r="B16" s="5" t="s">
        <v>97</v>
      </c>
      <c r="C16" s="57" t="s">
        <v>98</v>
      </c>
      <c r="D16" s="56" t="s">
        <v>61</v>
      </c>
      <c r="E16" s="56">
        <v>4.3600000000000003</v>
      </c>
      <c r="F16" s="57" t="s">
        <v>94</v>
      </c>
      <c r="G16" s="57" t="s">
        <v>99</v>
      </c>
      <c r="H16" s="56">
        <v>16.600000000000001</v>
      </c>
      <c r="I16" s="56">
        <v>15.6</v>
      </c>
      <c r="J16" s="68">
        <v>258.89999999999998</v>
      </c>
      <c r="K16" s="92"/>
    </row>
    <row r="17" spans="2:13" ht="15" thickBot="1" x14ac:dyDescent="0.35">
      <c r="B17" s="43"/>
      <c r="C17" s="43"/>
      <c r="D17" s="43"/>
      <c r="E17" s="43"/>
      <c r="F17" s="43"/>
      <c r="G17" s="43"/>
      <c r="H17" s="43"/>
      <c r="I17" s="43"/>
      <c r="J17" s="43"/>
      <c r="K17" s="43"/>
    </row>
    <row r="18" spans="2:13" ht="15" thickBot="1" x14ac:dyDescent="0.35">
      <c r="B18" s="43"/>
      <c r="C18" s="43"/>
      <c r="D18" s="43"/>
      <c r="E18" s="43"/>
      <c r="F18" s="43"/>
      <c r="G18" s="43"/>
      <c r="H18" s="43"/>
      <c r="I18" s="43"/>
      <c r="J18" s="49" t="s">
        <v>66</v>
      </c>
      <c r="K18" s="58" t="s">
        <v>67</v>
      </c>
      <c r="L18" s="78" t="s">
        <v>82</v>
      </c>
      <c r="M18" s="78"/>
    </row>
    <row r="19" spans="2:13" ht="15" thickBot="1" x14ac:dyDescent="0.35">
      <c r="B19" s="86" t="s">
        <v>64</v>
      </c>
      <c r="C19" s="87"/>
      <c r="D19" s="87"/>
      <c r="E19" s="87"/>
      <c r="F19" s="87"/>
      <c r="G19" s="87"/>
      <c r="H19" s="87"/>
      <c r="I19" s="88"/>
      <c r="J19" s="50">
        <v>16.600000000000001</v>
      </c>
      <c r="K19" s="51">
        <v>15.6</v>
      </c>
      <c r="L19" s="79">
        <v>258.89999999999998</v>
      </c>
      <c r="M19" s="79"/>
    </row>
  </sheetData>
  <mergeCells count="9">
    <mergeCell ref="L18:M18"/>
    <mergeCell ref="B19:I19"/>
    <mergeCell ref="L19:M19"/>
    <mergeCell ref="B2:K2"/>
    <mergeCell ref="B13:K13"/>
    <mergeCell ref="J14:K14"/>
    <mergeCell ref="B15:E15"/>
    <mergeCell ref="F15:K15"/>
    <mergeCell ref="J16:K16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OXIFERTIL</vt:lpstr>
      <vt:lpstr>INSUMOS FAZENDAS</vt:lpstr>
      <vt:lpstr>SANTA IRENE (STEIN)</vt:lpstr>
      <vt:lpstr>DANIELA</vt:lpstr>
      <vt:lpstr>'INSUMOS FAZENDAS'!Area_de_impressao</vt:lpstr>
      <vt:lpstr>OXIFERTIL!Area_de_impressao</vt:lpstr>
      <vt:lpstr>'SANTA IRENE (STEIN)'!Area_de_impressao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2025-04-04T18:30:35Z</cp:lastPrinted>
  <dcterms:created xsi:type="dcterms:W3CDTF">2025-03-08T20:09:48Z</dcterms:created>
  <dcterms:modified xsi:type="dcterms:W3CDTF">2025-04-23T20:16:37Z</dcterms:modified>
</cp:coreProperties>
</file>